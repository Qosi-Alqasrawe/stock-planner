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duction\Desktop\New folder\"/>
    </mc:Choice>
  </mc:AlternateContent>
  <xr:revisionPtr revIDLastSave="0" documentId="13_ncr:1_{7632E62B-82D7-44C2-9A90-C17EC365184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linet Orders" sheetId="1" r:id="rId1"/>
    <sheet name="EXT &amp; KTR4 &amp; Omso" sheetId="2" r:id="rId2"/>
    <sheet name="Others Machi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1" i="2" l="1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81" i="2"/>
  <c r="K70" i="3" l="1"/>
  <c r="K52" i="3"/>
  <c r="K46" i="3"/>
  <c r="K14" i="3"/>
  <c r="K3" i="3"/>
  <c r="Q7" i="3"/>
  <c r="Q8" i="3"/>
  <c r="Q10" i="3"/>
  <c r="Q76" i="3"/>
  <c r="O76" i="3"/>
  <c r="F76" i="3" s="1"/>
  <c r="Q75" i="3"/>
  <c r="O75" i="3"/>
  <c r="F75" i="3" s="1"/>
  <c r="Q74" i="3"/>
  <c r="O74" i="3"/>
  <c r="F74" i="3" s="1"/>
  <c r="Q73" i="3"/>
  <c r="O73" i="3"/>
  <c r="F73" i="3" s="1"/>
  <c r="Q72" i="3"/>
  <c r="O72" i="3"/>
  <c r="F72" i="3" s="1"/>
  <c r="Q71" i="3"/>
  <c r="O71" i="3"/>
  <c r="F71" i="3" s="1"/>
  <c r="Q70" i="3"/>
  <c r="O70" i="3"/>
  <c r="F70" i="3" s="1"/>
  <c r="Q66" i="3"/>
  <c r="O66" i="3"/>
  <c r="F66" i="3" s="1"/>
  <c r="Q65" i="3"/>
  <c r="O65" i="3"/>
  <c r="F65" i="3" s="1"/>
  <c r="Q64" i="3"/>
  <c r="O64" i="3"/>
  <c r="F64" i="3" s="1"/>
  <c r="Q63" i="3"/>
  <c r="O63" i="3"/>
  <c r="F63" i="3" s="1"/>
  <c r="Q62" i="3"/>
  <c r="O62" i="3"/>
  <c r="F62" i="3" s="1"/>
  <c r="Q61" i="3"/>
  <c r="O61" i="3"/>
  <c r="F61" i="3" s="1"/>
  <c r="Q60" i="3"/>
  <c r="O60" i="3"/>
  <c r="F60" i="3" s="1"/>
  <c r="Q59" i="3"/>
  <c r="O59" i="3"/>
  <c r="F59" i="3" s="1"/>
  <c r="Q58" i="3"/>
  <c r="O58" i="3"/>
  <c r="F58" i="3" s="1"/>
  <c r="Q57" i="3"/>
  <c r="O57" i="3"/>
  <c r="F57" i="3" s="1"/>
  <c r="Q56" i="3"/>
  <c r="O56" i="3"/>
  <c r="F56" i="3" s="1"/>
  <c r="Q55" i="3"/>
  <c r="O55" i="3"/>
  <c r="F55" i="3" s="1"/>
  <c r="Q54" i="3"/>
  <c r="O54" i="3"/>
  <c r="F54" i="3" s="1"/>
  <c r="Q53" i="3"/>
  <c r="O53" i="3"/>
  <c r="F53" i="3" s="1"/>
  <c r="Q52" i="3"/>
  <c r="O52" i="3"/>
  <c r="F52" i="3" s="1"/>
  <c r="P48" i="3"/>
  <c r="N48" i="3"/>
  <c r="F48" i="3" s="1"/>
  <c r="P47" i="3"/>
  <c r="N47" i="3"/>
  <c r="F47" i="3" s="1"/>
  <c r="Q47" i="3" s="1"/>
  <c r="P46" i="3"/>
  <c r="N46" i="3"/>
  <c r="F46" i="3" s="1"/>
  <c r="J46" i="3" s="1"/>
  <c r="Q42" i="3"/>
  <c r="O42" i="3"/>
  <c r="F42" i="3" s="1"/>
  <c r="Q41" i="3"/>
  <c r="O41" i="3"/>
  <c r="F41" i="3" s="1"/>
  <c r="M41" i="3"/>
  <c r="Q40" i="3"/>
  <c r="O40" i="3"/>
  <c r="F40" i="3" s="1"/>
  <c r="Q39" i="3"/>
  <c r="O39" i="3"/>
  <c r="F39" i="3" s="1"/>
  <c r="R39" i="3" s="1"/>
  <c r="Q38" i="3"/>
  <c r="O38" i="3"/>
  <c r="F38" i="3" s="1"/>
  <c r="J38" i="3" s="1"/>
  <c r="Q37" i="3"/>
  <c r="O37" i="3"/>
  <c r="F37" i="3" s="1"/>
  <c r="Q36" i="3"/>
  <c r="O36" i="3"/>
  <c r="F36" i="3" s="1"/>
  <c r="M36" i="3" s="1"/>
  <c r="Q35" i="3"/>
  <c r="O35" i="3"/>
  <c r="F35" i="3" s="1"/>
  <c r="Q34" i="3"/>
  <c r="O34" i="3"/>
  <c r="F34" i="3" s="1"/>
  <c r="M34" i="3" s="1"/>
  <c r="J34" i="3"/>
  <c r="Q33" i="3"/>
  <c r="O33" i="3"/>
  <c r="F33" i="3" s="1"/>
  <c r="Q32" i="3"/>
  <c r="O32" i="3"/>
  <c r="F32" i="3" s="1"/>
  <c r="J32" i="3" s="1"/>
  <c r="Q31" i="3"/>
  <c r="O31" i="3"/>
  <c r="F31" i="3" s="1"/>
  <c r="R31" i="3" s="1"/>
  <c r="M31" i="3"/>
  <c r="Q30" i="3"/>
  <c r="O30" i="3"/>
  <c r="F30" i="3" s="1"/>
  <c r="Q29" i="3"/>
  <c r="O29" i="3"/>
  <c r="F29" i="3" s="1"/>
  <c r="Q28" i="3"/>
  <c r="O28" i="3"/>
  <c r="F28" i="3" s="1"/>
  <c r="Q27" i="3"/>
  <c r="O27" i="3"/>
  <c r="F27" i="3" s="1"/>
  <c r="R27" i="3" s="1"/>
  <c r="Q26" i="3"/>
  <c r="O26" i="3"/>
  <c r="F26" i="3"/>
  <c r="J26" i="3" s="1"/>
  <c r="Q25" i="3"/>
  <c r="O25" i="3"/>
  <c r="F25" i="3" s="1"/>
  <c r="Q24" i="3"/>
  <c r="O24" i="3"/>
  <c r="F24" i="3" s="1"/>
  <c r="M24" i="3" s="1"/>
  <c r="Q23" i="3"/>
  <c r="O23" i="3"/>
  <c r="F23" i="3" s="1"/>
  <c r="M23" i="3" s="1"/>
  <c r="Q22" i="3"/>
  <c r="O22" i="3"/>
  <c r="F22" i="3" s="1"/>
  <c r="M22" i="3" s="1"/>
  <c r="Q21" i="3"/>
  <c r="O21" i="3"/>
  <c r="F21" i="3" s="1"/>
  <c r="J21" i="3" s="1"/>
  <c r="Q20" i="3"/>
  <c r="O20" i="3"/>
  <c r="F20" i="3" s="1"/>
  <c r="J20" i="3" s="1"/>
  <c r="Q19" i="3"/>
  <c r="O19" i="3"/>
  <c r="F19" i="3" s="1"/>
  <c r="R19" i="3" s="1"/>
  <c r="Q18" i="3"/>
  <c r="O18" i="3"/>
  <c r="F18" i="3" s="1"/>
  <c r="Q17" i="3"/>
  <c r="O17" i="3"/>
  <c r="F17" i="3" s="1"/>
  <c r="Q16" i="3"/>
  <c r="O16" i="3"/>
  <c r="F16" i="3" s="1"/>
  <c r="Q15" i="3"/>
  <c r="O15" i="3"/>
  <c r="F15" i="3" s="1"/>
  <c r="R15" i="3" s="1"/>
  <c r="Q14" i="3"/>
  <c r="O14" i="3"/>
  <c r="F14" i="3" s="1"/>
  <c r="O10" i="3"/>
  <c r="F10" i="3" s="1"/>
  <c r="Q9" i="3"/>
  <c r="O9" i="3"/>
  <c r="F9" i="3" s="1"/>
  <c r="O8" i="3"/>
  <c r="F8" i="3" s="1"/>
  <c r="O7" i="3"/>
  <c r="F7" i="3" s="1"/>
  <c r="Q6" i="3"/>
  <c r="O6" i="3"/>
  <c r="F6" i="3"/>
  <c r="J6" i="3" s="1"/>
  <c r="Q5" i="3"/>
  <c r="O5" i="3"/>
  <c r="F5" i="3" s="1"/>
  <c r="J5" i="3" s="1"/>
  <c r="Q4" i="3"/>
  <c r="O4" i="3"/>
  <c r="F4" i="3" s="1"/>
  <c r="R4" i="3" s="1"/>
  <c r="O3" i="3"/>
  <c r="F3" i="3" s="1"/>
  <c r="Q99" i="2"/>
  <c r="N99" i="2"/>
  <c r="F99" i="2" s="1"/>
  <c r="Q98" i="2"/>
  <c r="N98" i="2"/>
  <c r="F98" i="2" s="1"/>
  <c r="Q97" i="2"/>
  <c r="N97" i="2"/>
  <c r="F97" i="2" s="1"/>
  <c r="Q96" i="2"/>
  <c r="N96" i="2"/>
  <c r="F96" i="2" s="1"/>
  <c r="Q95" i="2"/>
  <c r="N95" i="2"/>
  <c r="F95" i="2" s="1"/>
  <c r="Q94" i="2"/>
  <c r="N94" i="2"/>
  <c r="F94" i="2" s="1"/>
  <c r="Q93" i="2"/>
  <c r="N93" i="2"/>
  <c r="F93" i="2" s="1"/>
  <c r="Q92" i="2"/>
  <c r="N92" i="2"/>
  <c r="F92" i="2" s="1"/>
  <c r="Q91" i="2"/>
  <c r="N91" i="2"/>
  <c r="F91" i="2" s="1"/>
  <c r="Q90" i="2"/>
  <c r="N90" i="2"/>
  <c r="F90" i="2" s="1"/>
  <c r="Q89" i="2"/>
  <c r="N89" i="2"/>
  <c r="F89" i="2" s="1"/>
  <c r="Q88" i="2"/>
  <c r="N88" i="2"/>
  <c r="F88" i="2" s="1"/>
  <c r="Q87" i="2"/>
  <c r="N87" i="2"/>
  <c r="F87" i="2" s="1"/>
  <c r="Q86" i="2"/>
  <c r="N86" i="2"/>
  <c r="F86" i="2" s="1"/>
  <c r="Q85" i="2"/>
  <c r="N85" i="2"/>
  <c r="F85" i="2" s="1"/>
  <c r="Q84" i="2"/>
  <c r="N84" i="2"/>
  <c r="F84" i="2" s="1"/>
  <c r="Q83" i="2"/>
  <c r="N83" i="2"/>
  <c r="F83" i="2" s="1"/>
  <c r="Q82" i="2"/>
  <c r="N82" i="2"/>
  <c r="F82" i="2" s="1"/>
  <c r="Q81" i="2"/>
  <c r="N81" i="2"/>
  <c r="F81" i="2" s="1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S25" i="2"/>
  <c r="R25" i="2"/>
  <c r="S24" i="2"/>
  <c r="R24" i="2"/>
  <c r="S23" i="2"/>
  <c r="R23" i="2"/>
  <c r="P23" i="2" s="1"/>
  <c r="H23" i="2" s="1"/>
  <c r="O23" i="2" s="1"/>
  <c r="S22" i="2"/>
  <c r="R22" i="2"/>
  <c r="P22" i="2" s="1"/>
  <c r="H22" i="2" s="1"/>
  <c r="L22" i="2" s="1"/>
  <c r="M22" i="2" s="1"/>
  <c r="S21" i="2"/>
  <c r="R21" i="2"/>
  <c r="S20" i="2"/>
  <c r="R20" i="2"/>
  <c r="S19" i="2"/>
  <c r="R19" i="2"/>
  <c r="S18" i="2"/>
  <c r="R18" i="2"/>
  <c r="S17" i="2"/>
  <c r="R17" i="2"/>
  <c r="P17" i="2" s="1"/>
  <c r="H17" i="2" s="1"/>
  <c r="O17" i="2" s="1"/>
  <c r="S16" i="2"/>
  <c r="R16" i="2"/>
  <c r="P16" i="2" s="1"/>
  <c r="H16" i="2" s="1"/>
  <c r="O16" i="2" s="1"/>
  <c r="S15" i="2"/>
  <c r="R15" i="2"/>
  <c r="S14" i="2"/>
  <c r="R14" i="2"/>
  <c r="S13" i="2"/>
  <c r="R13" i="2"/>
  <c r="P13" i="2" s="1"/>
  <c r="H13" i="2" s="1"/>
  <c r="L13" i="2" s="1"/>
  <c r="M13" i="2" s="1"/>
  <c r="S12" i="2"/>
  <c r="R12" i="2"/>
  <c r="P12" i="2" s="1"/>
  <c r="H12" i="2" s="1"/>
  <c r="L12" i="2" s="1"/>
  <c r="M12" i="2" s="1"/>
  <c r="S11" i="2"/>
  <c r="R11" i="2"/>
  <c r="P11" i="2" s="1"/>
  <c r="H11" i="2" s="1"/>
  <c r="O11" i="2" s="1"/>
  <c r="S10" i="2"/>
  <c r="R10" i="2"/>
  <c r="P10" i="2" s="1"/>
  <c r="H10" i="2" s="1"/>
  <c r="L10" i="2" s="1"/>
  <c r="M10" i="2" s="1"/>
  <c r="S9" i="2"/>
  <c r="R9" i="2"/>
  <c r="S8" i="2"/>
  <c r="R8" i="2"/>
  <c r="P8" i="2" s="1"/>
  <c r="H8" i="2" s="1"/>
  <c r="T8" i="2" s="1"/>
  <c r="S7" i="2"/>
  <c r="R7" i="2"/>
  <c r="P7" i="2" s="1"/>
  <c r="H7" i="2" s="1"/>
  <c r="L7" i="2" s="1"/>
  <c r="M7" i="2" s="1"/>
  <c r="S6" i="2"/>
  <c r="R6" i="2"/>
  <c r="S5" i="2"/>
  <c r="R5" i="2"/>
  <c r="P5" i="2" s="1"/>
  <c r="H5" i="2" s="1"/>
  <c r="O5" i="2" s="1"/>
  <c r="S4" i="2"/>
  <c r="R4" i="2"/>
  <c r="P4" i="2" s="1"/>
  <c r="H4" i="2" s="1"/>
  <c r="O4" i="2" s="1"/>
  <c r="S3" i="2"/>
  <c r="R3" i="2"/>
  <c r="P3" i="2" s="1"/>
  <c r="H3" i="2" s="1"/>
  <c r="L3" i="2" s="1"/>
  <c r="M3" i="2" s="1"/>
  <c r="L8" i="2" l="1"/>
  <c r="M8" i="2" s="1"/>
  <c r="T3" i="2"/>
  <c r="T13" i="2"/>
  <c r="T22" i="2"/>
  <c r="T17" i="2"/>
  <c r="T5" i="2"/>
  <c r="T12" i="2"/>
  <c r="T23" i="2"/>
  <c r="T16" i="2"/>
  <c r="T11" i="2"/>
  <c r="T7" i="2"/>
  <c r="T4" i="2"/>
  <c r="T10" i="2"/>
  <c r="P25" i="2"/>
  <c r="H25" i="2" s="1"/>
  <c r="O25" i="2" s="1"/>
  <c r="L23" i="2"/>
  <c r="M23" i="2" s="1"/>
  <c r="P6" i="2"/>
  <c r="H6" i="2" s="1"/>
  <c r="P15" i="2"/>
  <c r="H15" i="2" s="1"/>
  <c r="P19" i="2"/>
  <c r="H19" i="2" s="1"/>
  <c r="P14" i="2"/>
  <c r="H14" i="2" s="1"/>
  <c r="P18" i="2"/>
  <c r="H18" i="2" s="1"/>
  <c r="P20" i="2"/>
  <c r="H20" i="2" s="1"/>
  <c r="P24" i="2"/>
  <c r="H24" i="2" s="1"/>
  <c r="L17" i="2"/>
  <c r="M17" i="2" s="1"/>
  <c r="L11" i="2"/>
  <c r="M11" i="2" s="1"/>
  <c r="L5" i="2"/>
  <c r="M5" i="2" s="1"/>
  <c r="P21" i="2"/>
  <c r="H21" i="2" s="1"/>
  <c r="P9" i="2"/>
  <c r="H9" i="2" s="1"/>
  <c r="T9" i="2" s="1"/>
  <c r="L16" i="2"/>
  <c r="M16" i="2" s="1"/>
  <c r="L4" i="2"/>
  <c r="M4" i="2" s="1"/>
  <c r="P76" i="2"/>
  <c r="N42" i="2"/>
  <c r="F42" i="2" s="1"/>
  <c r="M9" i="3"/>
  <c r="M7" i="3"/>
  <c r="M8" i="3"/>
  <c r="J31" i="3"/>
  <c r="M87" i="2"/>
  <c r="M83" i="2"/>
  <c r="M5" i="3"/>
  <c r="M32" i="3"/>
  <c r="M91" i="2"/>
  <c r="R23" i="3"/>
  <c r="M99" i="2"/>
  <c r="M95" i="2"/>
  <c r="M35" i="3"/>
  <c r="R35" i="3"/>
  <c r="R20" i="3"/>
  <c r="R32" i="3"/>
  <c r="O10" i="2"/>
  <c r="J19" i="3"/>
  <c r="O22" i="2"/>
  <c r="R8" i="3"/>
  <c r="M19" i="3"/>
  <c r="O3" i="2"/>
  <c r="O7" i="2"/>
  <c r="R29" i="3"/>
  <c r="J29" i="3"/>
  <c r="M29" i="3"/>
  <c r="O12" i="2"/>
  <c r="R17" i="3"/>
  <c r="J17" i="3"/>
  <c r="M17" i="3"/>
  <c r="O8" i="2"/>
  <c r="P71" i="2"/>
  <c r="P41" i="2"/>
  <c r="R14" i="3"/>
  <c r="M14" i="3"/>
  <c r="R33" i="3"/>
  <c r="M33" i="3"/>
  <c r="M56" i="3"/>
  <c r="J56" i="3"/>
  <c r="M62" i="3"/>
  <c r="J62" i="3"/>
  <c r="M71" i="3"/>
  <c r="J71" i="3"/>
  <c r="N30" i="2"/>
  <c r="F30" i="2" s="1"/>
  <c r="J30" i="2" s="1"/>
  <c r="N59" i="2"/>
  <c r="F59" i="2" s="1"/>
  <c r="J59" i="2" s="1"/>
  <c r="P62" i="2"/>
  <c r="M82" i="2"/>
  <c r="M86" i="2"/>
  <c r="M90" i="2"/>
  <c r="M94" i="2"/>
  <c r="M98" i="2"/>
  <c r="R7" i="3"/>
  <c r="J14" i="3"/>
  <c r="M30" i="3"/>
  <c r="J30" i="3"/>
  <c r="R30" i="3"/>
  <c r="J33" i="3"/>
  <c r="M40" i="3"/>
  <c r="J40" i="3"/>
  <c r="R40" i="3"/>
  <c r="Q48" i="3"/>
  <c r="M48" i="3"/>
  <c r="J48" i="3"/>
  <c r="P72" i="2"/>
  <c r="N39" i="2"/>
  <c r="F39" i="2" s="1"/>
  <c r="J39" i="2" s="1"/>
  <c r="N51" i="2"/>
  <c r="F51" i="2" s="1"/>
  <c r="J51" i="2" s="1"/>
  <c r="P51" i="2"/>
  <c r="P60" i="2"/>
  <c r="P69" i="2"/>
  <c r="M18" i="3"/>
  <c r="J18" i="3"/>
  <c r="R18" i="3"/>
  <c r="M58" i="3"/>
  <c r="J58" i="3"/>
  <c r="P57" i="2"/>
  <c r="N66" i="2"/>
  <c r="F66" i="2" s="1"/>
  <c r="J66" i="2" s="1"/>
  <c r="R5" i="3"/>
  <c r="R24" i="3"/>
  <c r="J24" i="3"/>
  <c r="P59" i="2"/>
  <c r="M57" i="3"/>
  <c r="J57" i="3"/>
  <c r="N77" i="2"/>
  <c r="F77" i="2" s="1"/>
  <c r="J77" i="2" s="1"/>
  <c r="P70" i="2"/>
  <c r="N65" i="2"/>
  <c r="F65" i="2" s="1"/>
  <c r="J65" i="2" s="1"/>
  <c r="P58" i="2"/>
  <c r="P45" i="2"/>
  <c r="N40" i="2"/>
  <c r="F40" i="2" s="1"/>
  <c r="J40" i="2" s="1"/>
  <c r="P33" i="2"/>
  <c r="P75" i="2"/>
  <c r="N70" i="2"/>
  <c r="F70" i="2" s="1"/>
  <c r="J70" i="2" s="1"/>
  <c r="P63" i="2"/>
  <c r="N58" i="2"/>
  <c r="F58" i="2" s="1"/>
  <c r="J58" i="2" s="1"/>
  <c r="P50" i="2"/>
  <c r="N45" i="2"/>
  <c r="F45" i="2" s="1"/>
  <c r="J45" i="2" s="1"/>
  <c r="P38" i="2"/>
  <c r="N33" i="2"/>
  <c r="F33" i="2" s="1"/>
  <c r="J33" i="2" s="1"/>
  <c r="N63" i="2"/>
  <c r="F63" i="2" s="1"/>
  <c r="J63" i="2" s="1"/>
  <c r="P56" i="2"/>
  <c r="P43" i="2"/>
  <c r="N38" i="2"/>
  <c r="F38" i="2" s="1"/>
  <c r="J38" i="2" s="1"/>
  <c r="P31" i="2"/>
  <c r="N75" i="2"/>
  <c r="F75" i="2" s="1"/>
  <c r="J75" i="2" s="1"/>
  <c r="P68" i="2"/>
  <c r="N50" i="2"/>
  <c r="F50" i="2" s="1"/>
  <c r="J50" i="2" s="1"/>
  <c r="P73" i="2"/>
  <c r="N68" i="2"/>
  <c r="F68" i="2" s="1"/>
  <c r="J68" i="2" s="1"/>
  <c r="P61" i="2"/>
  <c r="N56" i="2"/>
  <c r="F56" i="2" s="1"/>
  <c r="J56" i="2" s="1"/>
  <c r="P48" i="2"/>
  <c r="N43" i="2"/>
  <c r="F43" i="2" s="1"/>
  <c r="J43" i="2" s="1"/>
  <c r="P36" i="2"/>
  <c r="N31" i="2"/>
  <c r="F31" i="2" s="1"/>
  <c r="J31" i="2" s="1"/>
  <c r="P74" i="2"/>
  <c r="N69" i="2"/>
  <c r="F69" i="2" s="1"/>
  <c r="J69" i="2" s="1"/>
  <c r="N74" i="2"/>
  <c r="F74" i="2" s="1"/>
  <c r="J74" i="2" s="1"/>
  <c r="P67" i="2"/>
  <c r="N62" i="2"/>
  <c r="F62" i="2" s="1"/>
  <c r="J62" i="2" s="1"/>
  <c r="P55" i="2"/>
  <c r="N49" i="2"/>
  <c r="F49" i="2" s="1"/>
  <c r="J49" i="2" s="1"/>
  <c r="P42" i="2"/>
  <c r="N37" i="2"/>
  <c r="F37" i="2" s="1"/>
  <c r="J37" i="2" s="1"/>
  <c r="P30" i="2"/>
  <c r="P77" i="2"/>
  <c r="N72" i="2"/>
  <c r="F72" i="2" s="1"/>
  <c r="J72" i="2" s="1"/>
  <c r="P65" i="2"/>
  <c r="N60" i="2"/>
  <c r="F60" i="2" s="1"/>
  <c r="J60" i="2" s="1"/>
  <c r="N47" i="2"/>
  <c r="F47" i="2" s="1"/>
  <c r="J47" i="2" s="1"/>
  <c r="P40" i="2"/>
  <c r="N35" i="2"/>
  <c r="F35" i="2" s="1"/>
  <c r="J35" i="2" s="1"/>
  <c r="O13" i="2"/>
  <c r="N76" i="2"/>
  <c r="F76" i="2" s="1"/>
  <c r="J76" i="2" s="1"/>
  <c r="M64" i="3"/>
  <c r="J64" i="3"/>
  <c r="P66" i="2"/>
  <c r="R6" i="3"/>
  <c r="M6" i="3"/>
  <c r="M15" i="3"/>
  <c r="J15" i="3"/>
  <c r="J28" i="3"/>
  <c r="M28" i="3"/>
  <c r="R28" i="3"/>
  <c r="R38" i="3"/>
  <c r="M38" i="3"/>
  <c r="M42" i="3"/>
  <c r="J42" i="3"/>
  <c r="R42" i="3"/>
  <c r="M53" i="3"/>
  <c r="J53" i="3"/>
  <c r="M59" i="3"/>
  <c r="J59" i="3"/>
  <c r="M65" i="3"/>
  <c r="J65" i="3"/>
  <c r="M74" i="3"/>
  <c r="J74" i="3"/>
  <c r="M63" i="3"/>
  <c r="J63" i="3"/>
  <c r="N36" i="2"/>
  <c r="F36" i="2" s="1"/>
  <c r="J36" i="2" s="1"/>
  <c r="N57" i="2"/>
  <c r="F57" i="2" s="1"/>
  <c r="J57" i="2" s="1"/>
  <c r="J37" i="3"/>
  <c r="R37" i="3"/>
  <c r="M37" i="3"/>
  <c r="M73" i="3"/>
  <c r="J73" i="3"/>
  <c r="N34" i="2"/>
  <c r="F34" i="2" s="1"/>
  <c r="J34" i="2" s="1"/>
  <c r="P37" i="2"/>
  <c r="N46" i="2"/>
  <c r="F46" i="2" s="1"/>
  <c r="J46" i="2" s="1"/>
  <c r="P49" i="2"/>
  <c r="N73" i="2"/>
  <c r="F73" i="2" s="1"/>
  <c r="J73" i="2" s="1"/>
  <c r="M84" i="2"/>
  <c r="M88" i="2"/>
  <c r="M92" i="2"/>
  <c r="M96" i="2"/>
  <c r="J3" i="3"/>
  <c r="R3" i="3"/>
  <c r="J22" i="3"/>
  <c r="J25" i="3"/>
  <c r="R25" i="3"/>
  <c r="M25" i="3"/>
  <c r="R34" i="3"/>
  <c r="M54" i="3"/>
  <c r="J54" i="3"/>
  <c r="M60" i="3"/>
  <c r="J60" i="3"/>
  <c r="M66" i="3"/>
  <c r="J66" i="3"/>
  <c r="M75" i="3"/>
  <c r="J75" i="3"/>
  <c r="M72" i="3"/>
  <c r="J72" i="3"/>
  <c r="R21" i="3"/>
  <c r="M21" i="3"/>
  <c r="M27" i="3"/>
  <c r="J27" i="3"/>
  <c r="N48" i="2"/>
  <c r="F48" i="2" s="1"/>
  <c r="J48" i="2" s="1"/>
  <c r="M52" i="3"/>
  <c r="J52" i="3"/>
  <c r="P34" i="2"/>
  <c r="P46" i="2"/>
  <c r="N55" i="2"/>
  <c r="F55" i="2" s="1"/>
  <c r="J55" i="2" s="1"/>
  <c r="K55" i="2" s="1"/>
  <c r="N67" i="2"/>
  <c r="F67" i="2" s="1"/>
  <c r="J67" i="2" s="1"/>
  <c r="R9" i="3"/>
  <c r="J9" i="3"/>
  <c r="N29" i="2"/>
  <c r="F29" i="2" s="1"/>
  <c r="J29" i="2" s="1"/>
  <c r="K29" i="2" s="1"/>
  <c r="N64" i="2"/>
  <c r="F64" i="2" s="1"/>
  <c r="J64" i="2" s="1"/>
  <c r="J4" i="3"/>
  <c r="M16" i="3"/>
  <c r="J16" i="3"/>
  <c r="R16" i="3"/>
  <c r="M26" i="3"/>
  <c r="R26" i="3"/>
  <c r="Q46" i="3"/>
  <c r="M46" i="3"/>
  <c r="R36" i="3"/>
  <c r="J36" i="3"/>
  <c r="P39" i="2"/>
  <c r="R41" i="3"/>
  <c r="J41" i="3"/>
  <c r="P29" i="2"/>
  <c r="N32" i="2"/>
  <c r="F32" i="2" s="1"/>
  <c r="J32" i="2" s="1"/>
  <c r="P35" i="2"/>
  <c r="N44" i="2"/>
  <c r="F44" i="2" s="1"/>
  <c r="J44" i="2" s="1"/>
  <c r="P47" i="2"/>
  <c r="N61" i="2"/>
  <c r="F61" i="2" s="1"/>
  <c r="J61" i="2" s="1"/>
  <c r="P64" i="2"/>
  <c r="M81" i="2"/>
  <c r="M85" i="2"/>
  <c r="M89" i="2"/>
  <c r="M93" i="2"/>
  <c r="M97" i="2"/>
  <c r="J7" i="3"/>
  <c r="J10" i="3"/>
  <c r="R10" i="3"/>
  <c r="M10" i="3"/>
  <c r="R22" i="3"/>
  <c r="M39" i="3"/>
  <c r="J39" i="3"/>
  <c r="M55" i="3"/>
  <c r="J55" i="3"/>
  <c r="M61" i="3"/>
  <c r="J61" i="3"/>
  <c r="M70" i="3"/>
  <c r="J70" i="3"/>
  <c r="M76" i="3"/>
  <c r="J76" i="3"/>
  <c r="P32" i="2"/>
  <c r="N41" i="2"/>
  <c r="F41" i="2" s="1"/>
  <c r="J41" i="2" s="1"/>
  <c r="P44" i="2"/>
  <c r="N71" i="2"/>
  <c r="F71" i="2" s="1"/>
  <c r="J71" i="2" s="1"/>
  <c r="M4" i="3"/>
  <c r="M20" i="3"/>
  <c r="J47" i="3"/>
  <c r="M47" i="3"/>
  <c r="J8" i="3"/>
  <c r="J23" i="3"/>
  <c r="J35" i="3"/>
  <c r="M42" i="2" l="1"/>
  <c r="J42" i="2"/>
  <c r="L20" i="2"/>
  <c r="M20" i="2" s="1"/>
  <c r="T20" i="2"/>
  <c r="O20" i="2"/>
  <c r="L15" i="2"/>
  <c r="M15" i="2" s="1"/>
  <c r="T15" i="2"/>
  <c r="O15" i="2"/>
  <c r="L14" i="2"/>
  <c r="M14" i="2" s="1"/>
  <c r="T14" i="2"/>
  <c r="O14" i="2"/>
  <c r="L24" i="2"/>
  <c r="M24" i="2" s="1"/>
  <c r="T24" i="2"/>
  <c r="L19" i="2"/>
  <c r="M19" i="2" s="1"/>
  <c r="T19" i="2"/>
  <c r="O19" i="2"/>
  <c r="O18" i="2"/>
  <c r="T18" i="2"/>
  <c r="L18" i="2"/>
  <c r="M18" i="2" s="1"/>
  <c r="O6" i="2"/>
  <c r="T6" i="2"/>
  <c r="O21" i="2"/>
  <c r="T21" i="2"/>
  <c r="L25" i="2"/>
  <c r="M25" i="2" s="1"/>
  <c r="T25" i="2"/>
  <c r="O9" i="2"/>
  <c r="L9" i="2"/>
  <c r="M9" i="2" s="1"/>
  <c r="O24" i="2"/>
  <c r="L21" i="2"/>
  <c r="M21" i="2" s="1"/>
  <c r="L6" i="2"/>
  <c r="M6" i="2" s="1"/>
  <c r="M71" i="2"/>
  <c r="M61" i="2"/>
  <c r="M29" i="2"/>
  <c r="M47" i="2"/>
  <c r="M74" i="2"/>
  <c r="M41" i="2"/>
  <c r="M60" i="2"/>
  <c r="M69" i="2"/>
  <c r="M75" i="2"/>
  <c r="M70" i="2"/>
  <c r="M44" i="2"/>
  <c r="M67" i="2"/>
  <c r="M38" i="2"/>
  <c r="M55" i="2"/>
  <c r="M40" i="2"/>
  <c r="M43" i="2"/>
  <c r="M46" i="2"/>
  <c r="M37" i="2"/>
  <c r="M63" i="2"/>
  <c r="M76" i="2"/>
  <c r="M56" i="2"/>
  <c r="M33" i="2"/>
  <c r="M65" i="2"/>
  <c r="M57" i="2"/>
  <c r="M31" i="2"/>
  <c r="M73" i="2"/>
  <c r="M66" i="2"/>
  <c r="M34" i="2"/>
  <c r="M49" i="2"/>
  <c r="M51" i="2"/>
  <c r="M36" i="2"/>
  <c r="M48" i="2"/>
  <c r="M68" i="2"/>
  <c r="M45" i="2"/>
  <c r="M77" i="2"/>
  <c r="M39" i="2"/>
  <c r="M72" i="2"/>
  <c r="M32" i="2"/>
  <c r="M35" i="2"/>
  <c r="M62" i="2"/>
  <c r="M59" i="2"/>
  <c r="M64" i="2"/>
  <c r="M50" i="2"/>
  <c r="M58" i="2"/>
  <c r="M30" i="2"/>
  <c r="M3" i="3"/>
  <c r="Q3" i="3" l="1"/>
</calcChain>
</file>

<file path=xl/sharedStrings.xml><?xml version="1.0" encoding="utf-8"?>
<sst xmlns="http://schemas.openxmlformats.org/spreadsheetml/2006/main" count="473" uniqueCount="160">
  <si>
    <t>Clinet Orders</t>
  </si>
  <si>
    <t>Item No.</t>
  </si>
  <si>
    <t>Item Name</t>
  </si>
  <si>
    <t>Customer</t>
  </si>
  <si>
    <t>Order placement date</t>
  </si>
  <si>
    <t>Qty</t>
  </si>
  <si>
    <t>Order number</t>
  </si>
  <si>
    <t>Order deadline</t>
  </si>
  <si>
    <t>Note</t>
  </si>
  <si>
    <t>18L Drum</t>
  </si>
  <si>
    <t>3.4L Handle</t>
  </si>
  <si>
    <t>95/150gTeeba yogurt</t>
  </si>
  <si>
    <t xml:space="preserve"> 75/250 Water cup 6g</t>
  </si>
  <si>
    <t>RECT-1KG-LABANEH-WHITE</t>
  </si>
  <si>
    <t>RECT-1KG-LABANEH-CLEAR</t>
  </si>
  <si>
    <t>LID-1KG-LABANEH-WHITE</t>
  </si>
  <si>
    <t>LID-1KG-LABANEH-CLEAR</t>
  </si>
  <si>
    <t>T1160-127-1000g-HM-YG-OFFER</t>
  </si>
  <si>
    <t>T1160-127-700g-HM-YG-OFFER1</t>
  </si>
  <si>
    <t>T2145-95-150g-HM-YG-ZA</t>
  </si>
  <si>
    <t xml:space="preserve">95/150.HM.YG.PP ZA  </t>
  </si>
  <si>
    <t>T1159-116-500g-HM-LA</t>
  </si>
  <si>
    <t>T1159-116-200g-HM-LA</t>
  </si>
  <si>
    <t>T1159-116-200g-HM-LA-ZAATAR</t>
  </si>
  <si>
    <t>T1159-116-200g-HM-LA-CHILI</t>
  </si>
  <si>
    <t>T1159-116-200g-HM-LA-DI</t>
  </si>
  <si>
    <t>T2145-116-150g-HM-LA</t>
  </si>
  <si>
    <t>MC-100mm-BROWN</t>
  </si>
  <si>
    <t>MC-100mm-CLEAR</t>
  </si>
  <si>
    <t>100ml M.C --CLEAR</t>
  </si>
  <si>
    <t>MC-100mm-BEIGE</t>
  </si>
  <si>
    <t>T2145-95-500g-HM-YG</t>
  </si>
  <si>
    <t>T2145-95-180g-HM-YG</t>
  </si>
  <si>
    <t>T2145-95-150g-HM-YG</t>
  </si>
  <si>
    <t>T2145-95-150g-HM-YG-DI</t>
  </si>
  <si>
    <t>T2145-95-125g-HM-YG</t>
  </si>
  <si>
    <t>T2145-95-125g-TEEBA-YG</t>
  </si>
  <si>
    <t>T2145-95-125g-ALMARAI-YG</t>
  </si>
  <si>
    <t>LID-130/127-HM-YG</t>
  </si>
  <si>
    <t>LID-116/112-HM-LA</t>
  </si>
  <si>
    <t>T598-75-125g-HM-SH</t>
  </si>
  <si>
    <t>T598-75-125g-TEEBA-SH</t>
  </si>
  <si>
    <t>W.S Fine Textured-Ultra White-18L</t>
  </si>
  <si>
    <t>Vinyl Matt- Colour Mixing -18L</t>
  </si>
  <si>
    <t>Vinyl Matt-Ultra White -16 L</t>
  </si>
  <si>
    <t>Vinyl Matt -Soft White -16 L</t>
  </si>
  <si>
    <t>Vinyl Matt - Off White - 16 L</t>
  </si>
  <si>
    <t>W.S Smooth 17L</t>
  </si>
  <si>
    <t>W.S Fine Textured 16 L</t>
  </si>
  <si>
    <t>Plaster Sealer - 16L</t>
  </si>
  <si>
    <t>Roof Coat 20 KG</t>
  </si>
  <si>
    <t>W.S Textured 25 KG</t>
  </si>
  <si>
    <t>Flexible Filler -25 Kg</t>
  </si>
  <si>
    <t>Vinyl Matt-Pentalite- 25 Kg</t>
  </si>
  <si>
    <t>Vinyl Silk-Ultra White - 20 Kg</t>
  </si>
  <si>
    <t>Vinyl Eggshell-Ultra White -20 Kg</t>
  </si>
  <si>
    <t>Joint Compound - 25 Kg</t>
  </si>
  <si>
    <t>LID-300mm-PAIL-18L</t>
  </si>
  <si>
    <t>PAIL-YOGURT-2L</t>
  </si>
  <si>
    <t>سطل لبنة سعة 2.0 لتر</t>
  </si>
  <si>
    <t>LID-150mm-PAIL-2L</t>
  </si>
  <si>
    <t>غطاء سطل لبنة 2.0 لتر</t>
  </si>
  <si>
    <t>علبة ريمي سعة 400 غم تشدر</t>
  </si>
  <si>
    <t>علبة ريمي سعة 400 غم كريم</t>
  </si>
  <si>
    <t>علبة ريمي سعة 180 غم تشدر</t>
  </si>
  <si>
    <t>علبة ريمي سعة 180 غم كريم</t>
  </si>
  <si>
    <t>غطاء علبة ريمي تشدر</t>
  </si>
  <si>
    <t>غطاء علبة ريمي كريم</t>
  </si>
  <si>
    <t>Vinyl Matt-Ultra White -3.4L</t>
  </si>
  <si>
    <t>Vinyl Matt-Off White-3.4L</t>
  </si>
  <si>
    <t>Vinyl Matt-Soft White-3.4L</t>
  </si>
  <si>
    <t>Vinyl Matt-Colour Mixing -3.4L</t>
  </si>
  <si>
    <t>Vinyl Eggshell- Ultra White -3.4L</t>
  </si>
  <si>
    <t>Vinyl Eggshell- Off White -3.4L</t>
  </si>
  <si>
    <t>Vinyl Eggshell- Soft White -3.4L</t>
  </si>
  <si>
    <t>Vinyl Eggshell- Colour Mixing -3.4L</t>
  </si>
  <si>
    <t>Vinyl Silk-  Off White -3.4L</t>
  </si>
  <si>
    <t>Vinyl Silk-  Soft White -3.4L</t>
  </si>
  <si>
    <t>Vinyl Silk-  Colour Mixing -3.4L</t>
  </si>
  <si>
    <t>Realife - Ultra White -3.4L</t>
  </si>
  <si>
    <t>Realife - Colour Mixing -3.4L</t>
  </si>
  <si>
    <t>W.S Smooth -Ultra White-3.4L</t>
  </si>
  <si>
    <t>W.S Smooth -Colour Mixing-3.4L</t>
  </si>
  <si>
    <t>Plaster  Sealer - 3.4L</t>
  </si>
  <si>
    <t>Mouldshield - Ultra White-3.4L</t>
  </si>
  <si>
    <t>Vinyl  Matt-Pentalite -Ultra White-3.4L</t>
  </si>
  <si>
    <t>Joint Compound-3.4L</t>
  </si>
  <si>
    <t>LID-177mm-PAIL-3.4L</t>
  </si>
  <si>
    <t>Crate - Green</t>
  </si>
  <si>
    <t>RECT-1KG-LABANEH-IML</t>
  </si>
  <si>
    <t>RECT-1KG-LABANEH-JAMDEH</t>
  </si>
  <si>
    <t>LID-1KG-LABANEH-IML</t>
  </si>
  <si>
    <t>LID-1KG-LABANEH-JAMDEH</t>
  </si>
  <si>
    <t>PET-SHANEENEH-1L</t>
  </si>
  <si>
    <t>PET-MILK-1L</t>
  </si>
  <si>
    <t>PET-SHANEENEH-330ML</t>
  </si>
  <si>
    <t>PET-SHANEENEH-200ML</t>
  </si>
  <si>
    <t>PET-JUICE-1.7L</t>
  </si>
  <si>
    <t>PET-JUICE-1.0L</t>
  </si>
  <si>
    <t>PET-JUICE-250ML</t>
  </si>
  <si>
    <t>SML</t>
  </si>
  <si>
    <t>Num.</t>
  </si>
  <si>
    <t xml:space="preserve"> SHEET DISCRIPTION </t>
  </si>
  <si>
    <t>Product</t>
  </si>
  <si>
    <t>Machine</t>
  </si>
  <si>
    <t>Priority</t>
  </si>
  <si>
    <t>Batch No.</t>
  </si>
  <si>
    <t xml:space="preserve">Production Order (kg) </t>
  </si>
  <si>
    <t>Start Date</t>
  </si>
  <si>
    <t>PPT</t>
  </si>
  <si>
    <t>End Date</t>
  </si>
  <si>
    <t xml:space="preserve">Current Production </t>
  </si>
  <si>
    <t>Remain Production</t>
  </si>
  <si>
    <t>Required QTY (Kg)</t>
  </si>
  <si>
    <t>Total Rolls</t>
  </si>
  <si>
    <t>Required QTY (Pcs)</t>
  </si>
  <si>
    <t>HelperKey</t>
  </si>
  <si>
    <t>PS 1750*540 WHITE</t>
  </si>
  <si>
    <t>KTR4-1</t>
  </si>
  <si>
    <t xml:space="preserve">Product </t>
  </si>
  <si>
    <t>RC %</t>
  </si>
  <si>
    <t>PS 1350*540 WHITE</t>
  </si>
  <si>
    <t>KTR4-2</t>
  </si>
  <si>
    <t>PP 1750*560 WHITE</t>
  </si>
  <si>
    <t>PP 1000*560 WHITE</t>
  </si>
  <si>
    <t>PP 950*560 WHITE</t>
  </si>
  <si>
    <t>PP 870*560 WHITE</t>
  </si>
  <si>
    <t>PP 900*540 WHITE</t>
  </si>
  <si>
    <t>PS 700*540 WHITE</t>
  </si>
  <si>
    <t>PP 600*540 CLEAR</t>
  </si>
  <si>
    <t>PP 550*545 CLEAR</t>
  </si>
  <si>
    <t>PP 1500*540 CLEAR</t>
  </si>
  <si>
    <t>PS 1400*540 CLEAR</t>
  </si>
  <si>
    <t xml:space="preserve">  Product </t>
  </si>
  <si>
    <t>White Balance (Pcs)</t>
  </si>
  <si>
    <t>Roll Balance</t>
  </si>
  <si>
    <t>Cups Regrind</t>
  </si>
  <si>
    <t>OMSO</t>
  </si>
  <si>
    <t>Production Order</t>
  </si>
  <si>
    <t xml:space="preserve">Current production </t>
  </si>
  <si>
    <t>Remain. production</t>
  </si>
  <si>
    <t>Req QTY For Printing</t>
  </si>
  <si>
    <t>White Balance</t>
  </si>
  <si>
    <t>SPEED 280</t>
  </si>
  <si>
    <t>Prioraty</t>
  </si>
  <si>
    <t xml:space="preserve">Production Order </t>
  </si>
  <si>
    <t>Speed</t>
  </si>
  <si>
    <t>Working Hours</t>
  </si>
  <si>
    <t xml:space="preserve"> Current production </t>
  </si>
  <si>
    <t>Label Stock</t>
  </si>
  <si>
    <t>Order</t>
  </si>
  <si>
    <t>Material Reservation</t>
  </si>
  <si>
    <t>SPEED 380</t>
  </si>
  <si>
    <t>Duo700</t>
  </si>
  <si>
    <t>Kase</t>
  </si>
  <si>
    <t>CHUMPOWER</t>
  </si>
  <si>
    <t>Starting Date</t>
  </si>
  <si>
    <t>PET Balance</t>
  </si>
  <si>
    <t>بدون رصيد شهري على الاوردر</t>
  </si>
  <si>
    <t>PS 1200*540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</si>
</sst>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d/m/yyyy\ h:mm"/>
    <numFmt numFmtId="166" formatCode="#,##0.0"/>
    <numFmt numFmtId="168" formatCode="_-* #,##0.00_-;\-* #,##0.00_-;_-* &quot;-&quot;??_-;_-@_-"/>
    <numFmt numFmtId="169" formatCode="yyyy\-mm\-dd\ hh:mm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  <font>
      <b/>
      <sz val="12"/>
      <color theme="0"/>
      <name val="Times New Roman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2" fillId="0" borderId="0"/>
    <xf numFmtId="168" fontId="2" fillId="0" borderId="0"/>
    <xf numFmtId="43" fontId="2" fillId="0" borderId="0"/>
  </cellStyleXfs>
  <cellXfs count="140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center" vertical="center" wrapText="1"/>
    </xf>
    <xf numFmtId="3" fontId="3" fillId="2" borderId="10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3" fontId="3" fillId="2" borderId="11" xfId="0" applyNumberFormat="1" applyFont="1" applyFill="1" applyBorder="1" applyAlignment="1">
      <alignment horizontal="center" vertical="center" wrapText="1"/>
    </xf>
    <xf numFmtId="3" fontId="3" fillId="2" borderId="10" xfId="3" applyNumberFormat="1" applyFont="1" applyFill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3" fontId="3" fillId="2" borderId="12" xfId="0" applyNumberFormat="1" applyFont="1" applyFill="1" applyBorder="1" applyAlignment="1">
      <alignment horizontal="center" vertical="center" wrapText="1"/>
    </xf>
    <xf numFmtId="3" fontId="3" fillId="2" borderId="13" xfId="0" applyNumberFormat="1" applyFont="1" applyFill="1" applyBorder="1" applyAlignment="1">
      <alignment horizontal="center" vertical="center" wrapText="1"/>
    </xf>
    <xf numFmtId="3" fontId="3" fillId="2" borderId="22" xfId="0" applyNumberFormat="1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1" fillId="2" borderId="10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4" fontId="6" fillId="7" borderId="2" xfId="0" applyNumberFormat="1" applyFont="1" applyFill="1" applyBorder="1" applyAlignment="1">
      <alignment horizontal="center" vertical="center" wrapText="1"/>
    </xf>
    <xf numFmtId="3" fontId="3" fillId="3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0" fontId="3" fillId="2" borderId="11" xfId="1" applyNumberFormat="1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3" fontId="1" fillId="3" borderId="10" xfId="0" applyNumberFormat="1" applyFont="1" applyFill="1" applyBorder="1" applyAlignment="1">
      <alignment horizontal="center" vertical="center" wrapText="1"/>
    </xf>
    <xf numFmtId="3" fontId="1" fillId="3" borderId="10" xfId="0" quotePrefix="1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center" vertical="center" wrapText="1"/>
    </xf>
    <xf numFmtId="3" fontId="3" fillId="3" borderId="7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3" borderId="11" xfId="0" applyNumberFormat="1" applyFont="1" applyFill="1" applyBorder="1" applyAlignment="1">
      <alignment horizontal="center" vertical="center" wrapText="1"/>
    </xf>
    <xf numFmtId="3" fontId="3" fillId="2" borderId="9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 wrapText="1"/>
    </xf>
    <xf numFmtId="4" fontId="3" fillId="2" borderId="0" xfId="0" applyNumberFormat="1" applyFont="1" applyFill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10" fontId="3" fillId="2" borderId="6" xfId="1" applyNumberFormat="1" applyFont="1" applyFill="1" applyBorder="1" applyAlignment="1">
      <alignment horizontal="center" vertical="center" wrapText="1"/>
    </xf>
    <xf numFmtId="3" fontId="3" fillId="3" borderId="10" xfId="3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top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3" fontId="4" fillId="5" borderId="16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1" fontId="3" fillId="3" borderId="10" xfId="0" applyNumberFormat="1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3" fontId="6" fillId="7" borderId="29" xfId="0" applyNumberFormat="1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14" fontId="6" fillId="7" borderId="29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0" fontId="3" fillId="2" borderId="3" xfId="1" applyNumberFormat="1" applyFont="1" applyFill="1" applyBorder="1" applyAlignment="1">
      <alignment horizontal="center" vertical="center" wrapText="1"/>
    </xf>
    <xf numFmtId="0" fontId="6" fillId="7" borderId="30" xfId="0" applyFont="1" applyFill="1" applyBorder="1" applyAlignment="1">
      <alignment horizontal="center" vertical="center" wrapText="1"/>
    </xf>
    <xf numFmtId="3" fontId="6" fillId="7" borderId="31" xfId="0" applyNumberFormat="1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 wrapText="1"/>
    </xf>
    <xf numFmtId="14" fontId="6" fillId="7" borderId="31" xfId="0" applyNumberFormat="1" applyFont="1" applyFill="1" applyBorder="1" applyAlignment="1">
      <alignment horizontal="center" vertical="center" wrapText="1"/>
    </xf>
    <xf numFmtId="3" fontId="6" fillId="7" borderId="3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3" fontId="1" fillId="5" borderId="33" xfId="0" applyNumberFormat="1" applyFont="1" applyFill="1" applyBorder="1" applyAlignment="1">
      <alignment horizontal="center" vertical="center" wrapText="1"/>
    </xf>
    <xf numFmtId="14" fontId="1" fillId="5" borderId="33" xfId="0" applyNumberFormat="1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3" fontId="1" fillId="5" borderId="34" xfId="0" applyNumberFormat="1" applyFont="1" applyFill="1" applyBorder="1" applyAlignment="1">
      <alignment horizontal="center" vertical="center" wrapText="1"/>
    </xf>
    <xf numFmtId="3" fontId="6" fillId="7" borderId="3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10" fontId="3" fillId="2" borderId="0" xfId="1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 wrapText="1"/>
    </xf>
    <xf numFmtId="3" fontId="3" fillId="2" borderId="36" xfId="0" applyNumberFormat="1" applyFont="1" applyFill="1" applyBorder="1" applyAlignment="1">
      <alignment horizontal="center" vertical="center" wrapText="1"/>
    </xf>
    <xf numFmtId="0" fontId="6" fillId="7" borderId="37" xfId="0" applyFont="1" applyFill="1" applyBorder="1" applyAlignment="1">
      <alignment horizontal="center" vertical="center" wrapText="1"/>
    </xf>
    <xf numFmtId="0" fontId="6" fillId="7" borderId="38" xfId="0" applyFont="1" applyFill="1" applyBorder="1" applyAlignment="1">
      <alignment horizontal="center" vertical="center" wrapText="1"/>
    </xf>
    <xf numFmtId="10" fontId="3" fillId="2" borderId="25" xfId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6" fillId="7" borderId="39" xfId="0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4" fontId="3" fillId="2" borderId="10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4" fontId="3" fillId="2" borderId="5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5" fontId="3" fillId="3" borderId="10" xfId="0" applyNumberFormat="1" applyFont="1" applyFill="1" applyBorder="1" applyAlignment="1">
      <alignment horizontal="center" vertical="center" wrapText="1" readingOrder="1"/>
    </xf>
    <xf numFmtId="165" fontId="3" fillId="3" borderId="10" xfId="0" applyNumberFormat="1" applyFont="1" applyFill="1" applyBorder="1" applyAlignment="1">
      <alignment horizontal="center" vertical="center" wrapText="1"/>
    </xf>
    <xf numFmtId="166" fontId="3" fillId="2" borderId="10" xfId="0" applyNumberFormat="1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9" fontId="3" fillId="3" borderId="10" xfId="0" applyNumberFormat="1" applyFont="1" applyFill="1" applyBorder="1" applyAlignment="1">
      <alignment horizontal="center" vertical="center" wrapText="1"/>
    </xf>
    <xf numFmtId="10" fontId="3" fillId="2" borderId="10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9" fontId="3" fillId="2" borderId="10" xfId="0" applyNumberFormat="1" applyFont="1" applyFill="1" applyBorder="1" applyAlignment="1">
      <alignment horizontal="center" vertical="center" wrapText="1"/>
    </xf>
    <xf numFmtId="3" fontId="5" fillId="8" borderId="18" xfId="0" applyNumberFormat="1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7" xfId="0" applyBorder="1"/>
    <xf numFmtId="3" fontId="6" fillId="6" borderId="14" xfId="0" applyNumberFormat="1" applyFont="1" applyFill="1" applyBorder="1" applyAlignment="1">
      <alignment horizontal="center" vertical="center" wrapText="1"/>
    </xf>
    <xf numFmtId="3" fontId="6" fillId="6" borderId="21" xfId="0" applyNumberFormat="1" applyFont="1" applyFill="1" applyBorder="1" applyAlignment="1">
      <alignment horizontal="center" vertical="center" wrapText="1"/>
    </xf>
    <xf numFmtId="0" fontId="0" fillId="0" borderId="20" xfId="0" applyBorder="1"/>
    <xf numFmtId="3" fontId="6" fillId="6" borderId="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9" fontId="3" fillId="3" borderId="10" xfId="0" applyNumberFormat="1" applyFont="1" applyFill="1" applyBorder="1" applyAlignment="1">
      <alignment horizontal="center" vertical="center" wrapText="1" readingOrder="1"/>
    </xf>
    <xf numFmtId="169" fontId="3" fillId="2" borderId="10" xfId="0" applyNumberFormat="1" applyFont="1" applyFill="1" applyBorder="1" applyAlignment="1">
      <alignment horizontal="center" vertical="center" wrapText="1" readingOrder="1"/>
    </xf>
    <xf numFmtId="1" fontId="3" fillId="3" borderId="10" xfId="0" applyNumberFormat="1" applyFont="1" applyFill="1" applyBorder="1" applyAlignment="1">
      <alignment horizontal="center" vertical="center" wrapText="1" readingOrder="1"/>
    </xf>
    <xf numFmtId="169" fontId="3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169" fontId="3" fillId="2" borderId="0" xfId="0" applyNumberFormat="1" applyFont="1" applyFill="1" applyBorder="1" applyAlignment="1">
      <alignment horizontal="center" vertical="center" wrapText="1" readingOrder="1"/>
    </xf>
    <xf numFmtId="3" fontId="6" fillId="6" borderId="20" xfId="0" applyNumberFormat="1" applyFont="1" applyFill="1" applyBorder="1" applyAlignment="1">
      <alignment horizontal="center" vertical="center" wrapText="1"/>
    </xf>
    <xf numFmtId="169" fontId="3" fillId="3" borderId="2" xfId="0" applyNumberFormat="1" applyFont="1" applyFill="1" applyBorder="1" applyAlignment="1">
      <alignment horizontal="center" vertical="center" wrapText="1"/>
    </xf>
    <xf numFmtId="169" fontId="3" fillId="3" borderId="5" xfId="0" applyNumberFormat="1" applyFont="1" applyFill="1" applyBorder="1" applyAlignment="1">
      <alignment horizontal="center" vertical="center" wrapText="1"/>
    </xf>
    <xf numFmtId="169" fontId="3" fillId="2" borderId="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6" fillId="6" borderId="40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00000000-0005-0000-0000-000002000000}"/>
    <cellStyle name="Normal" xfId="0" builtinId="0"/>
    <cellStyle name="Percent" xfId="1" builtinId="5"/>
  </cellStyles>
  <dxfs count="272"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 tint="-0.14999847407452621"/>
        </patternFill>
      </fill>
      <alignment horizontal="center" vertical="center" wrapTex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164" formatCode="0.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169" formatCode="yyyy\-mm\-dd\ hh: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169" formatCode="yyyy\-mm\-dd\ h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4" formatCode="0.00%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name val="Times New Roman"/>
        <family val="1"/>
      </font>
      <numFmt numFmtId="3" formatCode="#,##0"/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4" formatCode="0.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70" formatCode="m/d/yyyy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vertAlign val="baseline"/>
        <sz val="12"/>
        <name val="Times New Roman"/>
        <family val="1"/>
      </font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vertAlign val="baseline"/>
        <sz val="12"/>
        <name val="Times New Roman"/>
        <family val="1"/>
      </font>
      <alignment horizontal="center" vertical="center" wrapText="1"/>
    </dxf>
    <dxf>
      <font>
        <b/>
        <strike val="0"/>
        <outline val="0"/>
        <shadow val="0"/>
        <vertAlign val="baseline"/>
        <sz val="12"/>
        <color theme="0"/>
        <name val="Times New Roman"/>
        <family val="1"/>
      </font>
      <fill>
        <patternFill patternType="solid">
          <fgColor indexed="64"/>
          <bgColor theme="2" tint="-0.499984740745262"/>
        </patternFill>
      </fill>
      <alignment horizontal="center" vertical="center" wrapText="1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/>
        </patternFill>
      </fill>
      <alignment horizontal="center" vertical="center" wrapTex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4" formatCode="0.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fill>
        <patternFill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  <scheme val="none"/>
      </font>
      <numFmt numFmtId="169" formatCode="yyyy\-mm\-dd\ hh:mm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6" formatCode="#,##0.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Times New Roman"/>
        <family val="1"/>
      </font>
      <fill>
        <patternFill patternType="solid">
          <fgColor indexed="64"/>
          <bgColor theme="2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4" formatCode="0.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Times New Roman"/>
        <family val="1"/>
      </font>
      <fill>
        <patternFill patternType="solid">
          <fgColor indexed="64"/>
          <bgColor theme="2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4" formatCode="0.00%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4" formatCode="0.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5" formatCode="d/m/yyyy\ 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4" formatCode="0.00%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4" formatCode="0.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4" formatCode="0.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169" formatCode="yyyy\-mm\-dd\ hh:mm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numFmt numFmtId="3" formatCode="#,##0"/>
      <fill>
        <patternFill patternType="solid">
          <fgColor indexed="64"/>
          <bgColor theme="0"/>
        </patternFill>
      </fill>
      <alignment horizontal="center" vertical="center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Times New Roman"/>
        <family val="1"/>
      </font>
      <fill>
        <patternFill patternType="solid">
          <fgColor indexed="64"/>
          <bgColor theme="2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Times New Roman"/>
        <family val="1"/>
      </font>
      <fill>
        <patternFill patternType="solid">
          <fgColor indexed="64"/>
          <bgColor theme="2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</dxf>
    <dxf>
      <border>
        <bottom style="thin">
          <color theme="0"/>
        </bottom>
      </border>
    </dxf>
    <dxf>
      <font>
        <strike val="0"/>
        <outline val="0"/>
        <shadow val="0"/>
        <vertAlign val="baseline"/>
        <sz val="12"/>
        <color theme="1"/>
        <name val="Times New Roman"/>
        <family val="1"/>
      </font>
      <fill>
        <patternFill patternType="solid">
          <fgColor indexed="64"/>
          <bgColor theme="1" tint="0.34998626667073579"/>
        </patternFill>
      </fill>
      <alignment horizontal="center" vertical="center" wrapText="1"/>
      <border outline="0">
        <left style="thin">
          <color theme="0"/>
        </left>
        <right style="thin">
          <color theme="0"/>
        </right>
        <top/>
        <bottom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Times New Roman"/>
        <family val="1"/>
      </font>
      <fill>
        <patternFill patternType="solid">
          <fgColor indexed="64"/>
          <bgColor theme="0"/>
        </patternFill>
      </fill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Times New Roman"/>
        <family val="1"/>
      </font>
      <fill>
        <patternFill patternType="solid">
          <fgColor indexed="64"/>
          <bgColor theme="2" tint="-0.49998474074526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numFmt numFmtId="3" formatCode="#,##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alignment horizontal="center" vertical="center" wrapText="1"/>
    </dxf>
    <dxf>
      <border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Times New Roman"/>
        <family val="1"/>
      </font>
      <fill>
        <patternFill patternType="solid">
          <fgColor indexed="64"/>
          <bgColor theme="1" tint="0.34998626667073579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A2:H93" totalsRowShown="0" headerRowDxfId="271" dataDxfId="269" headerRowBorderDxfId="270" tableBorderDxfId="268">
  <autoFilter ref="A2:H93" xr:uid="{00000000-0009-0000-0100-000001000000}"/>
  <sortState xmlns:xlrd2="http://schemas.microsoft.com/office/spreadsheetml/2017/richdata2" ref="A3:H93">
    <sortCondition ref="H2:H93"/>
  </sortState>
  <tableColumns count="8">
    <tableColumn id="1" xr3:uid="{00000000-0010-0000-0000-000001000000}" name="Item No." dataDxfId="267"/>
    <tableColumn id="2" xr3:uid="{00000000-0010-0000-0000-000002000000}" name="Item Name" dataDxfId="266"/>
    <tableColumn id="3" xr3:uid="{00000000-0010-0000-0000-000003000000}" name="Customer" dataDxfId="265"/>
    <tableColumn id="4" xr3:uid="{00000000-0010-0000-0000-000004000000}" name="Order placement date" dataDxfId="264"/>
    <tableColumn id="5" xr3:uid="{00000000-0010-0000-0000-000005000000}" name="Qty" dataDxfId="263"/>
    <tableColumn id="6" xr3:uid="{00000000-0010-0000-0000-000006000000}" name="Order number" dataDxfId="262"/>
    <tableColumn id="7" xr3:uid="{00000000-0010-0000-0000-000007000000}" name="Order deadline" dataDxfId="261"/>
    <tableColumn id="8" xr3:uid="{00000000-0010-0000-0000-000008000000}" name="Note" dataDxfId="26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2:T25" totalsRowShown="0" headerRowDxfId="259" dataDxfId="257" headerRowBorderDxfId="258" tableBorderDxfId="256" totalsRowBorderDxfId="255">
  <autoFilter ref="A2:T25" xr:uid="{00000000-0009-0000-0100-000002000000}"/>
  <sortState xmlns:xlrd2="http://schemas.microsoft.com/office/spreadsheetml/2017/richdata2" ref="A3:S25">
    <sortCondition ref="A2:A25"/>
  </sortState>
  <tableColumns count="20">
    <tableColumn id="1" xr3:uid="{00000000-0010-0000-0100-000001000000}" name="Num." dataDxfId="135"/>
    <tableColumn id="2" xr3:uid="{00000000-0010-0000-0100-000002000000}" name=" SHEET DISCRIPTION " dataDxfId="134"/>
    <tableColumn id="3" xr3:uid="{00000000-0010-0000-0100-000003000000}" name="Product" dataDxfId="133"/>
    <tableColumn id="4" xr3:uid="{00000000-0010-0000-0100-000004000000}" name="Machine" dataDxfId="132"/>
    <tableColumn id="5" xr3:uid="{00000000-0010-0000-0100-000005000000}" name="Note" dataDxfId="131"/>
    <tableColumn id="20" xr3:uid="{00000000-0010-0000-0100-000014000000}" name="Priority" dataDxfId="130"/>
    <tableColumn id="19" xr3:uid="{00000000-0010-0000-0100-000013000000}" name="Batch No." dataDxfId="129"/>
    <tableColumn id="6" xr3:uid="{00000000-0010-0000-0100-000006000000}" name="Production Order (kg) " dataDxfId="128">
      <calculatedColumnFormula>Table3[[#This Row],[Required QTY (Kg)]]</calculatedColumnFormula>
    </tableColumn>
    <tableColumn id="7" xr3:uid="{00000000-0010-0000-0100-000007000000}" name="Start Date" dataDxfId="127"/>
    <tableColumn id="15" xr3:uid="{7D28E5D0-4BBD-489B-81F8-5D3428C0D1F8}" name="Speed" dataDxfId="126"/>
    <tableColumn id="17" xr3:uid="{0917D6F5-D118-4D5A-9293-BF466500319C}" name="Working Hours" dataDxfId="125"/>
    <tableColumn id="8" xr3:uid="{00000000-0010-0000-0100-000008000000}" name="PPT" dataDxfId="124">
      <calculatedColumnFormula>(Table3[[#This Row],[Production Order (kg) ]]/Table3[[#This Row],[Speed]])/Table3[[#This Row],[Working Hours]]</calculatedColumnFormula>
    </tableColumn>
    <tableColumn id="9" xr3:uid="{00000000-0010-0000-0100-000009000000}" name="End Date" dataDxfId="116">
      <calculatedColumnFormula>Table3[[#This Row],[Start Date]]+Table3[[#This Row],[PPT]]</calculatedColumnFormula>
    </tableColumn>
    <tableColumn id="10" xr3:uid="{00000000-0010-0000-0100-00000A000000}" name="Current Production " dataDxfId="123"/>
    <tableColumn id="11" xr3:uid="{00000000-0010-0000-0100-00000B000000}" name="Remain Production" dataDxfId="122">
      <calculatedColumnFormula>IF(H3-N3&lt;0,"Done",H3-N3)</calculatedColumnFormula>
    </tableColumn>
    <tableColumn id="12" xr3:uid="{00000000-0010-0000-0100-00000C000000}" name="Required QTY (Kg)" dataDxfId="121">
      <calculatedColumnFormula>Table3[[#This Row],[Required QTY (Pcs)]]/61.5</calculatedColumnFormula>
    </tableColumn>
    <tableColumn id="13" xr3:uid="{00000000-0010-0000-0100-00000D000000}" name="Total Rolls" dataDxfId="120"/>
    <tableColumn id="14" xr3:uid="{00000000-0010-0000-0100-00000E000000}" name="Required QTY (Pcs)" dataDxfId="119">
      <calculatedColumnFormula>_xlfn.XLOOKUP(C3,Table6[Item Name],Table6[Qty],"Check QTY")</calculatedColumnFormula>
    </tableColumn>
    <tableColumn id="16" xr3:uid="{00000000-0010-0000-0100-000010000000}" name="HelperKey" dataDxfId="118">
      <calculatedColumnFormula>Table3[[#This Row],[Product]] &amp; "-" &amp; Table3[[#This Row],[Machine]]</calculatedColumnFormula>
    </tableColumn>
    <tableColumn id="18" xr3:uid="{708BEAC9-469D-4452-9E75-DD8FA1E3AF18}" name="Material Reservation" dataDxfId="117">
      <calculatedColumnFormula>Table3[[#This Row],[Production Order (kg) ]]*0.63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28:R51" totalsRowShown="0" headerRowDxfId="70" dataDxfId="69" headerRowBorderDxfId="67" tableBorderDxfId="68">
  <autoFilter ref="A28:R51" xr:uid="{00000000-0009-0000-0100-000003000000}"/>
  <sortState xmlns:xlrd2="http://schemas.microsoft.com/office/spreadsheetml/2017/richdata2" ref="A29:R51">
    <sortCondition ref="A28:A51"/>
  </sortState>
  <tableColumns count="18">
    <tableColumn id="1" xr3:uid="{00000000-0010-0000-0200-000001000000}" name="Num." dataDxfId="66"/>
    <tableColumn id="2" xr3:uid="{00000000-0010-0000-0200-000002000000}" name="  Product " dataDxfId="65"/>
    <tableColumn id="19" xr3:uid="{00000000-0010-0000-0200-000013000000}" name="Note" dataDxfId="64"/>
    <tableColumn id="3" xr3:uid="{00000000-0010-0000-0200-000003000000}" name="Priority" dataDxfId="63"/>
    <tableColumn id="4" xr3:uid="{00000000-0010-0000-0200-000004000000}" name="Batch No." dataDxfId="62"/>
    <tableColumn id="5" xr3:uid="{00000000-0010-0000-0200-000005000000}" name="Production Order (kg) " dataDxfId="61"/>
    <tableColumn id="6" xr3:uid="{00000000-0010-0000-0200-000006000000}" name="Start Date" dataDxfId="60"/>
    <tableColumn id="14" xr3:uid="{E06C4160-A1D9-47F5-8AAE-D4E80657AE65}" name="Speed" dataDxfId="59"/>
    <tableColumn id="13" xr3:uid="{747C8EE2-8C6E-4FE3-8137-2106657FEE31}" name="Working Hours" dataDxfId="58"/>
    <tableColumn id="7" xr3:uid="{00000000-0010-0000-0200-000007000000}" name="PPT" dataDxfId="57">
      <calculatedColumnFormula>(Table5[[#This Row],[Production Order (kg) ]]/Table5[[#This Row],[Speed]])/Table5[[#This Row],[Working Hours]]</calculatedColumnFormula>
    </tableColumn>
    <tableColumn id="8" xr3:uid="{00000000-0010-0000-0200-000008000000}" name="End Date" dataDxfId="56">
      <calculatedColumnFormula>Table5[[#This Row],[Start Date]]+Table5[[#This Row],[PPT]]</calculatedColumnFormula>
    </tableColumn>
    <tableColumn id="9" xr3:uid="{00000000-0010-0000-0200-000009000000}" name="Current Production " dataDxfId="55"/>
    <tableColumn id="10" xr3:uid="{00000000-0010-0000-0200-00000A000000}" name="Remain Production" dataDxfId="54">
      <calculatedColumnFormula>IF(F29-L29&lt;0,"Done",F29-L29)</calculatedColumnFormula>
    </tableColumn>
    <tableColumn id="11" xr3:uid="{00000000-0010-0000-0200-00000B000000}" name="Required QTY (Pcs)" dataDxfId="53"/>
    <tableColumn id="12" xr3:uid="{00000000-0010-0000-0200-00000C000000}" name="White Balance (Pcs)" dataDxfId="52"/>
    <tableColumn id="17" xr3:uid="{00000000-0010-0000-0200-000011000000}" name="Roll Balance" dataDxfId="51">
      <calculatedColumnFormula>_xlfn.XLOOKUP(B29 &amp; "-" &amp; $A$27, Table3[HelperKey], Table3[Total Rolls], "On KTR-2")</calculatedColumnFormula>
    </tableColumn>
    <tableColumn id="15" xr3:uid="{00000000-0010-0000-0200-00000F000000}" name="Cups Regrind" dataDxfId="50"/>
    <tableColumn id="16" xr3:uid="{00000000-0010-0000-0200-000010000000}" name="RC %" dataDxfId="49" dataCellStyle="Perce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7" displayName="Table7" ref="A80:Q99" totalsRowShown="0" headerRowDxfId="254" dataDxfId="252" headerRowBorderDxfId="253" tableBorderDxfId="251" totalsRowBorderDxfId="250">
  <autoFilter ref="A80:Q99" xr:uid="{00000000-0009-0000-0100-000004000000}"/>
  <sortState xmlns:xlrd2="http://schemas.microsoft.com/office/spreadsheetml/2017/richdata2" ref="A81:Q99">
    <sortCondition ref="A80:A99"/>
  </sortState>
  <tableColumns count="17">
    <tableColumn id="1" xr3:uid="{00000000-0010-0000-0300-000001000000}" name="Num." dataDxfId="16"/>
    <tableColumn id="2" xr3:uid="{00000000-0010-0000-0300-000002000000}" name="Product " dataDxfId="15"/>
    <tableColumn id="3" xr3:uid="{00000000-0010-0000-0300-000003000000}" name="Note" dataDxfId="14"/>
    <tableColumn id="15" xr3:uid="{00000000-0010-0000-0300-00000F000000}" name="Priority" dataDxfId="13"/>
    <tableColumn id="4" xr3:uid="{00000000-0010-0000-0300-000004000000}" name="Batch No." dataDxfId="12"/>
    <tableColumn id="5" xr3:uid="{00000000-0010-0000-0300-000005000000}" name="Production Order" dataDxfId="11">
      <calculatedColumnFormula>Table7[[#This Row],[Req QTY For Printing]]</calculatedColumnFormula>
    </tableColumn>
    <tableColumn id="6" xr3:uid="{00000000-0010-0000-0300-000006000000}" name="Start Date" dataDxfId="10"/>
    <tableColumn id="17" xr3:uid="{7ACC888D-4792-49FE-A471-9E292F41015E}" name="Speed" dataDxfId="9"/>
    <tableColumn id="16" xr3:uid="{3F61044F-FF6D-4846-9987-0ADEB99C5939}" name="Working Hours" dataDxfId="8"/>
    <tableColumn id="7" xr3:uid="{00000000-0010-0000-0300-000007000000}" name="PPT" dataDxfId="7">
      <calculatedColumnFormula>(Table7[[#This Row],[Production Order]]/Table7[[#This Row],[Speed]])/Table7[[#This Row],[Working Hours]]</calculatedColumnFormula>
    </tableColumn>
    <tableColumn id="8" xr3:uid="{00000000-0010-0000-0300-000008000000}" name="End Date" dataDxfId="6">
      <calculatedColumnFormula>Table7[[#This Row],[Start Date]]+Table7[[#This Row],[PPT]]</calculatedColumnFormula>
    </tableColumn>
    <tableColumn id="9" xr3:uid="{00000000-0010-0000-0300-000009000000}" name="Current production " dataDxfId="5"/>
    <tableColumn id="10" xr3:uid="{00000000-0010-0000-0300-00000A000000}" name="Remain. production" dataDxfId="4">
      <calculatedColumnFormula>IF(F81-L81&lt;0,"Done",F81-L81)</calculatedColumnFormula>
    </tableColumn>
    <tableColumn id="11" xr3:uid="{00000000-0010-0000-0300-00000B000000}" name="Req QTY For Printing" dataDxfId="3">
      <calculatedColumnFormula>_xlfn.XLOOKUP(Table7[[#This Row],[Product ]],Table6[Item Name],Table6[Qty],"Check QTY")</calculatedColumnFormula>
    </tableColumn>
    <tableColumn id="12" xr3:uid="{00000000-0010-0000-0300-00000C000000}" name="White Balance" dataDxfId="2"/>
    <tableColumn id="13" xr3:uid="{00000000-0010-0000-0300-00000D000000}" name="Cups Regrind" dataDxfId="1"/>
    <tableColumn id="14" xr3:uid="{00000000-0010-0000-0300-00000E000000}" name="RC %" dataDxfId="0">
      <calculatedColumnFormula>IFERROR((Table7[[#This Row],[Cups Regrind]]/(Table7[[#This Row],[Current production ]]+Table7[[#This Row],[Cups Regrind]])),"No Data Entry")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8" displayName="Table8" ref="A54:R77" totalsRowShown="0" headerRowDxfId="249" headerRowBorderDxfId="248" tableBorderDxfId="247" totalsRowBorderDxfId="246">
  <autoFilter ref="A54:R77" xr:uid="{00000000-0009-0000-0100-000005000000}"/>
  <sortState xmlns:xlrd2="http://schemas.microsoft.com/office/spreadsheetml/2017/richdata2" ref="A55:R77">
    <sortCondition ref="D54:D77"/>
  </sortState>
  <tableColumns count="18">
    <tableColumn id="1" xr3:uid="{00000000-0010-0000-0400-000001000000}" name="Num." dataDxfId="17"/>
    <tableColumn id="2" xr3:uid="{00000000-0010-0000-0400-000002000000}" name="  Product " dataDxfId="18"/>
    <tableColumn id="3" xr3:uid="{00000000-0010-0000-0400-000003000000}" name="Note" dataDxfId="34"/>
    <tableColumn id="18" xr3:uid="{00000000-0010-0000-0400-000012000000}" name="Priority" dataDxfId="33"/>
    <tableColumn id="4" xr3:uid="{00000000-0010-0000-0400-000004000000}" name="Batch No." dataDxfId="32"/>
    <tableColumn id="5" xr3:uid="{00000000-0010-0000-0400-000005000000}" name="Production Order (kg) " dataDxfId="31">
      <calculatedColumnFormula>Table8[[#This Row],[Required QTY (Pcs)]]</calculatedColumnFormula>
    </tableColumn>
    <tableColumn id="6" xr3:uid="{00000000-0010-0000-0400-000006000000}" name="Start Date" dataDxfId="30"/>
    <tableColumn id="15" xr3:uid="{7A03C44B-1064-4553-A09D-B548B9E8A0DF}" name="Speed" dataDxfId="29"/>
    <tableColumn id="13" xr3:uid="{4DF910FD-3389-4B07-8E39-09939605154B}" name="Working Hours" dataDxfId="28"/>
    <tableColumn id="7" xr3:uid="{00000000-0010-0000-0400-000007000000}" name="PPT" dataDxfId="27">
      <calculatedColumnFormula>(Table8[[#This Row],[Production Order (kg) ]]/Table8[[#This Row],[Speed]])/Table8[[#This Row],[Working Hours]]</calculatedColumnFormula>
    </tableColumn>
    <tableColumn id="8" xr3:uid="{00000000-0010-0000-0400-000008000000}" name="End Date" dataDxfId="26">
      <calculatedColumnFormula>Table8[[#This Row],[Start Date]]+Table8[[#This Row],[PPT]]</calculatedColumnFormula>
    </tableColumn>
    <tableColumn id="9" xr3:uid="{00000000-0010-0000-0400-000009000000}" name="Current Production " dataDxfId="25"/>
    <tableColumn id="10" xr3:uid="{00000000-0010-0000-0400-00000A000000}" name="Remain Production" dataDxfId="24">
      <calculatedColumnFormula>IF(F55-L55&lt;0,"Done",F55-L55)</calculatedColumnFormula>
    </tableColumn>
    <tableColumn id="11" xr3:uid="{00000000-0010-0000-0400-00000B000000}" name="Required QTY (Pcs)" dataDxfId="23">
      <calculatedColumnFormula>_xlfn.XLOOKUP(B55 &amp; "-" &amp; $A$53, Table3[HelperKey], Table3[Required QTY (Pcs)], "On KTR4-1")</calculatedColumnFormula>
    </tableColumn>
    <tableColumn id="12" xr3:uid="{00000000-0010-0000-0400-00000C000000}" name="White Balance (Pcs)" dataDxfId="22"/>
    <tableColumn id="14" xr3:uid="{00000000-0010-0000-0400-00000E000000}" name="Roll Balance" dataDxfId="21">
      <calculatedColumnFormula>_xlfn.XLOOKUP(B55 &amp; "-" &amp; $A$53, Table3[HelperKey], Table3[Total Rolls], "On KTR-1")</calculatedColumnFormula>
    </tableColumn>
    <tableColumn id="16" xr3:uid="{00000000-0010-0000-0400-000010000000}" name="Cups Regrind" dataDxfId="20"/>
    <tableColumn id="17" xr3:uid="{00000000-0010-0000-0400-000011000000}" name="RC %" dataDxfId="19" dataCellStyle="Percent">
      <calculatedColumnFormula>IFERROR((Table8[[#This Row],[Cups Regrind]]/(Table8[[#This Row],[Current Production ]]+Table8[[#This Row],[Cups Regrind]])),"No Data Entry")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2" displayName="Table2" ref="A45:Q48" totalsRowShown="0" headerRowDxfId="245" dataDxfId="243" headerRowBorderDxfId="244" tableBorderDxfId="242" totalsRowBorderDxfId="241">
  <autoFilter ref="A45:Q48" xr:uid="{00000000-0009-0000-0100-00000A000000}"/>
  <sortState xmlns:xlrd2="http://schemas.microsoft.com/office/spreadsheetml/2017/richdata2" ref="A46:P48">
    <sortCondition ref="A45:A48"/>
  </sortState>
  <tableColumns count="17">
    <tableColumn id="14" xr3:uid="{00000000-0010-0000-0900-00000E000000}" name="Num." dataDxfId="240"/>
    <tableColumn id="1" xr3:uid="{00000000-0010-0000-0900-000001000000}" name="Product " dataDxfId="239"/>
    <tableColumn id="2" xr3:uid="{00000000-0010-0000-0900-000002000000}" name="Note" dataDxfId="238"/>
    <tableColumn id="3" xr3:uid="{00000000-0010-0000-0900-000003000000}" name="Prioraty" dataDxfId="237"/>
    <tableColumn id="4" xr3:uid="{00000000-0010-0000-0900-000004000000}" name="Batch No." dataDxfId="236"/>
    <tableColumn id="5" xr3:uid="{00000000-0010-0000-0900-000005000000}" name="Production Order" dataDxfId="235">
      <calculatedColumnFormula>Table2[[#This Row],[Order]]</calculatedColumnFormula>
    </tableColumn>
    <tableColumn id="6" xr3:uid="{00000000-0010-0000-0900-000006000000}" name="Start Date" dataDxfId="234">
      <calculatedColumnFormula>K45</calculatedColumnFormula>
    </tableColumn>
    <tableColumn id="16" xr3:uid="{00000000-0010-0000-0900-000010000000}" name="Speed" dataDxfId="233"/>
    <tableColumn id="15" xr3:uid="{00000000-0010-0000-0900-00000F000000}" name="Working Hours" dataDxfId="232"/>
    <tableColumn id="7" xr3:uid="{00000000-0010-0000-0900-000007000000}" name="PPT" dataDxfId="231">
      <calculatedColumnFormula>(Table2[[#This Row],[Production Order]]/Table2[[#This Row],[Speed]])/Table2[[#This Row],[Working Hours]]</calculatedColumnFormula>
    </tableColumn>
    <tableColumn id="8" xr3:uid="{00000000-0010-0000-0900-000008000000}" name="End Date" dataDxfId="230">
      <calculatedColumnFormula>Table2[[#This Row],[Start Date]]+Table2[[#This Row],[PPT]]</calculatedColumnFormula>
    </tableColumn>
    <tableColumn id="9" xr3:uid="{00000000-0010-0000-0900-000009000000}" name=" Current production " dataDxfId="229"/>
    <tableColumn id="10" xr3:uid="{00000000-0010-0000-0900-00000A000000}" name="Remain Production" dataDxfId="228">
      <calculatedColumnFormula>IF(F46-L46&lt;0,"Done",F46-L46)</calculatedColumnFormula>
    </tableColumn>
    <tableColumn id="11" xr3:uid="{00000000-0010-0000-0900-00000B000000}" name="Order" dataDxfId="227">
      <calculatedColumnFormula>_xlfn.XLOOKUP(B46,Table6[Item Name],Table6[Qty],"Check QTY")</calculatedColumnFormula>
    </tableColumn>
    <tableColumn id="12" xr3:uid="{00000000-0010-0000-0900-00000C000000}" name="Cups Regrind" dataDxfId="226"/>
    <tableColumn id="13" xr3:uid="{00000000-0010-0000-0900-00000D000000}" name="RC %" dataDxfId="225">
      <calculatedColumnFormula>IFERROR((Table2[[#This Row],[Cups Regrind]]/(Table2[[#This Row],[ Current production ]]+Table2[[#This Row],[Cups Regrind]])),"No Data Entry")</calculatedColumnFormula>
    </tableColumn>
    <tableColumn id="17" xr3:uid="{00000000-0010-0000-0900-000011000000}" name="Material Reservation" dataDxfId="224">
      <calculatedColumnFormula>(Table2[[#This Row],[Production Order]]*760*0.99)/1000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4" displayName="Table4" ref="A51:Q66" totalsRowShown="0" dataDxfId="222" headerRowBorderDxfId="223" tableBorderDxfId="221" totalsRowBorderDxfId="220">
  <autoFilter ref="A51:Q66" xr:uid="{00000000-0009-0000-0100-00000B000000}"/>
  <sortState xmlns:xlrd2="http://schemas.microsoft.com/office/spreadsheetml/2017/richdata2" ref="A52:Q66">
    <sortCondition ref="A51:A66"/>
  </sortState>
  <tableColumns count="17">
    <tableColumn id="15" xr3:uid="{00000000-0010-0000-0A00-00000F000000}" name="Num." dataDxfId="219"/>
    <tableColumn id="1" xr3:uid="{00000000-0010-0000-0A00-000001000000}" name="Product " dataDxfId="218"/>
    <tableColumn id="2" xr3:uid="{00000000-0010-0000-0A00-000002000000}" name="Note" dataDxfId="217"/>
    <tableColumn id="3" xr3:uid="{00000000-0010-0000-0A00-000003000000}" name="Prioraty" dataDxfId="216"/>
    <tableColumn id="4" xr3:uid="{00000000-0010-0000-0A00-000004000000}" name="Batch No." dataDxfId="215"/>
    <tableColumn id="5" xr3:uid="{00000000-0010-0000-0A00-000005000000}" name="Production Order" dataDxfId="214">
      <calculatedColumnFormula>Table4[[#This Row],[Order]]</calculatedColumnFormula>
    </tableColumn>
    <tableColumn id="6" xr3:uid="{00000000-0010-0000-0A00-000006000000}" name="Start Date" dataDxfId="213">
      <calculatedColumnFormula>Table9[[#This Row],[Start Date]]+Table9[[#This Row],[PPT]]</calculatedColumnFormula>
    </tableColumn>
    <tableColumn id="17" xr3:uid="{00000000-0010-0000-0A00-000011000000}" name="Speed" dataDxfId="212"/>
    <tableColumn id="16" xr3:uid="{00000000-0010-0000-0A00-000010000000}" name="Working Hours" dataDxfId="211"/>
    <tableColumn id="7" xr3:uid="{00000000-0010-0000-0A00-000007000000}" name="PPT" dataDxfId="210">
      <calculatedColumnFormula>(Table4[[#This Row],[Production Order]]/#REF!)/6</calculatedColumnFormula>
    </tableColumn>
    <tableColumn id="8" xr3:uid="{00000000-0010-0000-0A00-000008000000}" name="End Date" dataDxfId="209">
      <calculatedColumnFormula>Table4[[#This Row],[Start Date]]+Table4[[#This Row],[PPT]]</calculatedColumnFormula>
    </tableColumn>
    <tableColumn id="9" xr3:uid="{00000000-0010-0000-0A00-000009000000}" name=" Current production " dataDxfId="208"/>
    <tableColumn id="10" xr3:uid="{00000000-0010-0000-0A00-00000A000000}" name="Remain Production" dataDxfId="207">
      <calculatedColumnFormula>IF(F52-L52&lt;0,"Done",F52-L52)</calculatedColumnFormula>
    </tableColumn>
    <tableColumn id="14" xr3:uid="{00000000-0010-0000-0A00-00000E000000}" name="White Balance" dataDxfId="206"/>
    <tableColumn id="11" xr3:uid="{00000000-0010-0000-0A00-00000B000000}" name="Order" dataDxfId="205">
      <calculatedColumnFormula>_xlfn.XLOOKUP(B52,Table6[Item Name],Table6[Qty],"Check QTY")</calculatedColumnFormula>
    </tableColumn>
    <tableColumn id="12" xr3:uid="{00000000-0010-0000-0A00-00000C000000}" name="Cups Regrind" dataDxfId="204"/>
    <tableColumn id="13" xr3:uid="{00000000-0010-0000-0A00-00000D000000}" name="RC %" dataDxfId="203" dataCellStyle="Percent">
      <calculatedColumnFormula>IFERROR(Table4[[#This Row],[Cups Regrind]]/(Table4[[#This Row],[ Current production ]]+Table4[[#This Row],[Cups Regrind]]),"No Data Entry")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0" displayName="Table10" ref="A69:Q76" totalsRowShown="0" dataDxfId="201" headerRowBorderDxfId="202" tableBorderDxfId="200" totalsRowBorderDxfId="199">
  <autoFilter ref="A69:Q76" xr:uid="{00000000-0009-0000-0100-00000C000000}"/>
  <sortState xmlns:xlrd2="http://schemas.microsoft.com/office/spreadsheetml/2017/richdata2" ref="A70:Q76">
    <sortCondition ref="A69:A76"/>
  </sortState>
  <tableColumns count="17">
    <tableColumn id="14" xr3:uid="{00000000-0010-0000-0B00-00000E000000}" name="Num." dataDxfId="198"/>
    <tableColumn id="1" xr3:uid="{00000000-0010-0000-0B00-000001000000}" name="Product " dataDxfId="197"/>
    <tableColumn id="2" xr3:uid="{00000000-0010-0000-0B00-000002000000}" name="Note" dataDxfId="196"/>
    <tableColumn id="15" xr3:uid="{00000000-0010-0000-0B00-00000F000000}" name="Prioraty" dataDxfId="195"/>
    <tableColumn id="3" xr3:uid="{00000000-0010-0000-0B00-000003000000}" name="Batch No." dataDxfId="194"/>
    <tableColumn id="4" xr3:uid="{00000000-0010-0000-0B00-000004000000}" name="Production Order" dataDxfId="193">
      <calculatedColumnFormula>Table10[[#This Row],[Order]]</calculatedColumnFormula>
    </tableColumn>
    <tableColumn id="5" xr3:uid="{00000000-0010-0000-0B00-000005000000}" name="Starting Date" dataDxfId="192"/>
    <tableColumn id="17" xr3:uid="{00000000-0010-0000-0B00-000011000000}" name="Speed" dataDxfId="191"/>
    <tableColumn id="16" xr3:uid="{00000000-0010-0000-0B00-000010000000}" name="Working Hours" dataDxfId="190"/>
    <tableColumn id="6" xr3:uid="{00000000-0010-0000-0B00-000006000000}" name="PPT" dataDxfId="189">
      <calculatedColumnFormula>(Table10[[#This Row],[Production Order]]/Table10[[#This Row],[Speed]])/Table10[[#This Row],[Working Hours]]</calculatedColumnFormula>
    </tableColumn>
    <tableColumn id="7" xr3:uid="{00000000-0010-0000-0B00-000007000000}" name="End Date" dataDxfId="188">
      <calculatedColumnFormula>Table10[[#This Row],[Starting Date]]+Table10[[#This Row],[PPT]]</calculatedColumnFormula>
    </tableColumn>
    <tableColumn id="8" xr3:uid="{00000000-0010-0000-0B00-000008000000}" name=" Current production " dataDxfId="187"/>
    <tableColumn id="9" xr3:uid="{00000000-0010-0000-0B00-000009000000}" name="Remain Production" dataDxfId="186">
      <calculatedColumnFormula>IF(F70-L70&lt;0,"Done",F70-L70)</calculatedColumnFormula>
    </tableColumn>
    <tableColumn id="10" xr3:uid="{00000000-0010-0000-0B00-00000A000000}" name="PET Balance" dataDxfId="185"/>
    <tableColumn id="11" xr3:uid="{00000000-0010-0000-0B00-00000B000000}" name="Order" dataDxfId="184">
      <calculatedColumnFormula>_xlfn.XLOOKUP(Table10[[#This Row],[Product ]],Table6[Item Name],Table6[Qty],"Check QTY")</calculatedColumnFormula>
    </tableColumn>
    <tableColumn id="12" xr3:uid="{00000000-0010-0000-0B00-00000C000000}" name="Cups Regrind" dataDxfId="183"/>
    <tableColumn id="13" xr3:uid="{00000000-0010-0000-0B00-00000D000000}" name="RC %" dataDxfId="182">
      <calculatedColumnFormula>IFERROR(Table10[[#This Row],[Cups Regrind]]/(Table10[[#This Row],[ Current production ]]+Table10[[#This Row],[Cups Regrind]]),"No Data Entry")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" displayName="Table1" ref="A13:R42" totalsRowShown="0" headerRowDxfId="181" dataDxfId="179" headerRowBorderDxfId="180" tableBorderDxfId="178" totalsRowBorderDxfId="177">
  <autoFilter ref="A13:R42" xr:uid="{00000000-0009-0000-0100-00000D000000}"/>
  <sortState xmlns:xlrd2="http://schemas.microsoft.com/office/spreadsheetml/2017/richdata2" ref="A14:Q42">
    <sortCondition ref="A13:A42"/>
  </sortState>
  <tableColumns count="18">
    <tableColumn id="19" xr3:uid="{00000000-0010-0000-0C00-000013000000}" name="Num." dataDxfId="176"/>
    <tableColumn id="1" xr3:uid="{00000000-0010-0000-0C00-000001000000}" name="Product " dataDxfId="175"/>
    <tableColumn id="2" xr3:uid="{00000000-0010-0000-0C00-000002000000}" name="Note" dataDxfId="174"/>
    <tableColumn id="3" xr3:uid="{00000000-0010-0000-0C00-000003000000}" name="Prioraty" dataDxfId="173"/>
    <tableColumn id="4" xr3:uid="{00000000-0010-0000-0C00-000004000000}" name="Batch No." dataDxfId="172"/>
    <tableColumn id="5" xr3:uid="{00000000-0010-0000-0C00-000005000000}" name="Production Order " dataDxfId="171">
      <calculatedColumnFormula>Table1[[#This Row],[Order]]</calculatedColumnFormula>
    </tableColumn>
    <tableColumn id="6" xr3:uid="{00000000-0010-0000-0C00-000006000000}" name="Start Date" dataDxfId="170"/>
    <tableColumn id="16" xr3:uid="{00000000-0010-0000-0C00-000010000000}" name="Speed" dataDxfId="169"/>
    <tableColumn id="15" xr3:uid="{00000000-0010-0000-0C00-00000F000000}" name="Working Hours" dataDxfId="168"/>
    <tableColumn id="7" xr3:uid="{00000000-0010-0000-0C00-000007000000}" name="PPT" dataDxfId="167">
      <calculatedColumnFormula>(Table1[[#This Row],[Production Order ]]/Table1[[#This Row],[Speed]])/Table1[[#This Row],[Working Hours]]</calculatedColumnFormula>
    </tableColumn>
    <tableColumn id="8" xr3:uid="{00000000-0010-0000-0C00-000008000000}" name="End Date" dataDxfId="166">
      <calculatedColumnFormula>Table1[[#This Row],[Start Date]]+Table1[[#This Row],[PPT]]</calculatedColumnFormula>
    </tableColumn>
    <tableColumn id="9" xr3:uid="{00000000-0010-0000-0C00-000009000000}" name=" Current production " dataDxfId="165"/>
    <tableColumn id="10" xr3:uid="{00000000-0010-0000-0C00-00000A000000}" name="Remain Production" dataDxfId="164">
      <calculatedColumnFormula>Table1[[#This Row],[Production Order ]]-Table1[[#This Row],[ Current production ]]</calculatedColumnFormula>
    </tableColumn>
    <tableColumn id="11" xr3:uid="{00000000-0010-0000-0C00-00000B000000}" name="Label Stock" dataDxfId="163"/>
    <tableColumn id="12" xr3:uid="{00000000-0010-0000-0C00-00000C000000}" name="Order" dataDxfId="162">
      <calculatedColumnFormula>_xlfn.XLOOKUP(Table1[[#This Row],[Product ]],Table6[Item Name],Table6[Qty],"Check QTY")</calculatedColumnFormula>
    </tableColumn>
    <tableColumn id="13" xr3:uid="{00000000-0010-0000-0C00-00000D000000}" name="Cups Regrind" dataDxfId="161"/>
    <tableColumn id="14" xr3:uid="{00000000-0010-0000-0C00-00000E000000}" name="RC %" dataDxfId="160">
      <calculatedColumnFormula>IFERROR((Table1[[#This Row],[Cups Regrind]]/(Table1[[#This Row],[ Current production ]]+Table1[[#This Row],[Cups Regrind]])),"No Data Entry")</calculatedColumnFormula>
    </tableColumn>
    <tableColumn id="17" xr3:uid="{00000000-0010-0000-0C00-000011000000}" name="Material Reservation" dataDxfId="159">
      <calculatedColumnFormula>(Table1[[#This Row],[Production Order ]]*45*0.99)/1000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9" displayName="Table9" ref="A2:R10" totalsRowShown="0" headerRowDxfId="158" dataDxfId="156" headerRowBorderDxfId="157" tableBorderDxfId="155" totalsRowBorderDxfId="154">
  <autoFilter ref="A2:R10" xr:uid="{00000000-0009-0000-0100-00000E000000}"/>
  <sortState xmlns:xlrd2="http://schemas.microsoft.com/office/spreadsheetml/2017/richdata2" ref="A3:Q10">
    <sortCondition ref="A2:A10"/>
  </sortState>
  <tableColumns count="18">
    <tableColumn id="19" xr3:uid="{00000000-0010-0000-0D00-000013000000}" name="Num." dataDxfId="153"/>
    <tableColumn id="1" xr3:uid="{00000000-0010-0000-0D00-000001000000}" name="Product " dataDxfId="152"/>
    <tableColumn id="2" xr3:uid="{00000000-0010-0000-0D00-000002000000}" name="Note" dataDxfId="151"/>
    <tableColumn id="3" xr3:uid="{00000000-0010-0000-0D00-000003000000}" name="Prioraty" dataDxfId="150"/>
    <tableColumn id="4" xr3:uid="{00000000-0010-0000-0D00-000004000000}" name="Batch No." dataDxfId="149"/>
    <tableColumn id="5" xr3:uid="{00000000-0010-0000-0D00-000005000000}" name="Production Order " dataDxfId="148">
      <calculatedColumnFormula>Table9[[#This Row],[Order]]</calculatedColumnFormula>
    </tableColumn>
    <tableColumn id="6" xr3:uid="{00000000-0010-0000-0D00-000006000000}" name="Start Date" dataDxfId="147"/>
    <tableColumn id="16" xr3:uid="{00000000-0010-0000-0D00-000010000000}" name="Speed" dataDxfId="146"/>
    <tableColumn id="15" xr3:uid="{00000000-0010-0000-0D00-00000F000000}" name="Working Hours" dataDxfId="145"/>
    <tableColumn id="7" xr3:uid="{00000000-0010-0000-0D00-000007000000}" name="PPT" dataDxfId="144">
      <calculatedColumnFormula>(Table9[[#This Row],[Production Order ]]/Table9[[#This Row],[Speed]])/Table9[[#This Row],[Working Hours]]</calculatedColumnFormula>
    </tableColumn>
    <tableColumn id="8" xr3:uid="{00000000-0010-0000-0D00-000008000000}" name="End Date" dataDxfId="143">
      <calculatedColumnFormula>Table9[[#This Row],[Start Date]]+Table9[[#This Row],[PPT]]</calculatedColumnFormula>
    </tableColumn>
    <tableColumn id="9" xr3:uid="{00000000-0010-0000-0D00-000009000000}" name=" Current production " dataDxfId="142"/>
    <tableColumn id="10" xr3:uid="{00000000-0010-0000-0D00-00000A000000}" name="Remain Production" dataDxfId="141" dataCellStyle="Comma">
      <calculatedColumnFormula>Table9[[#This Row],[Production Order ]]-Table9[[#This Row],[ Current production ]]</calculatedColumnFormula>
    </tableColumn>
    <tableColumn id="11" xr3:uid="{00000000-0010-0000-0D00-00000B000000}" name="Label Stock" dataDxfId="140" dataCellStyle="Comma"/>
    <tableColumn id="12" xr3:uid="{00000000-0010-0000-0D00-00000C000000}" name="Order" dataDxfId="139">
      <calculatedColumnFormula>_xlfn.XLOOKUP(Table9[[#This Row],[Product ]],Table6[Item Name],Table6[Qty],"Check QTY")</calculatedColumnFormula>
    </tableColumn>
    <tableColumn id="13" xr3:uid="{00000000-0010-0000-0D00-00000D000000}" name="Cups Regrind" dataDxfId="138"/>
    <tableColumn id="14" xr3:uid="{00000000-0010-0000-0D00-00000E000000}" name="RC %" dataDxfId="137">
      <calculatedColumnFormula>IFERROR((Table9[[#This Row],[Cups Regrind]]/(Table9[[#This Row],[ Current production ]]+Table9[[#This Row],[Cups Regrind]])),"No Data Entry")</calculatedColumnFormula>
    </tableColumn>
    <tableColumn id="17" xr3:uid="{00000000-0010-0000-0D00-000011000000}" name="Material Reservation" dataDxfId="136">
      <calculatedColumnFormula>(Table9[[#This Row],[Production Order ]]*6.9*0.99)/1000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zoomScale="115" zoomScaleNormal="115" workbookViewId="0">
      <selection activeCell="C11" sqref="C11"/>
    </sheetView>
  </sheetViews>
  <sheetFormatPr defaultColWidth="48.5703125" defaultRowHeight="15.75" x14ac:dyDescent="0.25"/>
  <cols>
    <col min="1" max="1" width="16" style="12" bestFit="1" customWidth="1"/>
    <col min="2" max="2" width="33.7109375" style="12" bestFit="1" customWidth="1"/>
    <col min="3" max="3" width="14.85546875" style="12" bestFit="1" customWidth="1"/>
    <col min="4" max="4" width="26.7109375" style="12" bestFit="1" customWidth="1"/>
    <col min="5" max="5" width="10.140625" style="20" bestFit="1" customWidth="1"/>
    <col min="6" max="6" width="19.140625" style="12" bestFit="1" customWidth="1"/>
    <col min="7" max="7" width="20" style="12" bestFit="1" customWidth="1"/>
    <col min="8" max="8" width="31.140625" style="12" customWidth="1"/>
    <col min="9" max="10" width="48.5703125" style="12" customWidth="1"/>
    <col min="11" max="16384" width="48.5703125" style="12"/>
  </cols>
  <sheetData>
    <row r="1" spans="1:8" ht="16.5" thickBot="1" x14ac:dyDescent="0.3">
      <c r="A1" s="115" t="s">
        <v>0</v>
      </c>
      <c r="B1" s="116"/>
      <c r="C1" s="116"/>
      <c r="D1" s="116"/>
      <c r="E1" s="116"/>
      <c r="F1" s="116"/>
      <c r="G1" s="116"/>
      <c r="H1" s="117"/>
    </row>
    <row r="2" spans="1:8" ht="16.5" thickBot="1" x14ac:dyDescent="0.3">
      <c r="A2" s="54" t="s">
        <v>1</v>
      </c>
      <c r="B2" s="55" t="s">
        <v>2</v>
      </c>
      <c r="C2" s="55" t="s">
        <v>3</v>
      </c>
      <c r="D2" s="55" t="s">
        <v>4</v>
      </c>
      <c r="E2" s="56" t="s">
        <v>5</v>
      </c>
      <c r="F2" s="55" t="s">
        <v>6</v>
      </c>
      <c r="G2" s="55" t="s">
        <v>7</v>
      </c>
      <c r="H2" s="57" t="s">
        <v>8</v>
      </c>
    </row>
    <row r="3" spans="1:8" x14ac:dyDescent="0.25">
      <c r="A3" s="14">
        <v>80201001</v>
      </c>
      <c r="B3" s="14" t="s">
        <v>9</v>
      </c>
      <c r="C3" s="14"/>
      <c r="D3" s="14"/>
      <c r="E3" s="18"/>
      <c r="F3" s="14"/>
      <c r="G3" s="14"/>
      <c r="H3" s="14" t="s">
        <v>158</v>
      </c>
    </row>
    <row r="4" spans="1:8" x14ac:dyDescent="0.25">
      <c r="A4" s="13">
        <v>80204001</v>
      </c>
      <c r="B4" s="13" t="s">
        <v>10</v>
      </c>
      <c r="C4" s="13"/>
      <c r="D4" s="13"/>
      <c r="E4" s="19"/>
      <c r="F4" s="13"/>
      <c r="G4" s="13"/>
      <c r="H4" s="14" t="s">
        <v>158</v>
      </c>
    </row>
    <row r="5" spans="1:8" x14ac:dyDescent="0.25">
      <c r="A5" s="14">
        <v>1001060506</v>
      </c>
      <c r="B5" s="13" t="s">
        <v>11</v>
      </c>
      <c r="C5" s="13"/>
      <c r="D5" s="13"/>
      <c r="E5" s="18"/>
      <c r="F5" s="13"/>
      <c r="G5" s="13"/>
      <c r="H5" s="14" t="s">
        <v>158</v>
      </c>
    </row>
    <row r="6" spans="1:8" x14ac:dyDescent="0.25">
      <c r="A6" s="13">
        <v>1001090108</v>
      </c>
      <c r="B6" s="13" t="s">
        <v>12</v>
      </c>
      <c r="C6" s="13"/>
      <c r="D6" s="13"/>
      <c r="E6" s="19"/>
      <c r="F6" s="13"/>
      <c r="G6" s="13"/>
      <c r="H6" s="14" t="s">
        <v>158</v>
      </c>
    </row>
    <row r="7" spans="1:8" x14ac:dyDescent="0.25">
      <c r="A7" s="14">
        <v>1002110102</v>
      </c>
      <c r="B7" s="13" t="s">
        <v>13</v>
      </c>
      <c r="C7" s="13"/>
      <c r="D7" s="13"/>
      <c r="E7" s="18"/>
      <c r="F7" s="13"/>
      <c r="G7" s="13"/>
      <c r="H7" s="14" t="s">
        <v>158</v>
      </c>
    </row>
    <row r="8" spans="1:8" x14ac:dyDescent="0.25">
      <c r="A8" s="13">
        <v>1002110103</v>
      </c>
      <c r="B8" s="13" t="s">
        <v>14</v>
      </c>
      <c r="C8" s="13"/>
      <c r="D8" s="13"/>
      <c r="E8" s="18"/>
      <c r="F8" s="13"/>
      <c r="G8" s="13"/>
      <c r="H8" s="14" t="s">
        <v>158</v>
      </c>
    </row>
    <row r="9" spans="1:8" x14ac:dyDescent="0.25">
      <c r="A9" s="14">
        <v>1002110202</v>
      </c>
      <c r="B9" s="13" t="s">
        <v>15</v>
      </c>
      <c r="C9" s="13"/>
      <c r="D9" s="13"/>
      <c r="E9" s="18"/>
      <c r="F9" s="13"/>
      <c r="G9" s="13"/>
      <c r="H9" s="14" t="s">
        <v>158</v>
      </c>
    </row>
    <row r="10" spans="1:8" x14ac:dyDescent="0.25">
      <c r="A10" s="13">
        <v>1002110205</v>
      </c>
      <c r="B10" s="13" t="s">
        <v>16</v>
      </c>
      <c r="C10" s="13"/>
      <c r="D10" s="13"/>
      <c r="E10" s="18"/>
      <c r="F10" s="13"/>
      <c r="G10" s="13"/>
      <c r="H10" s="14" t="s">
        <v>158</v>
      </c>
    </row>
    <row r="11" spans="1:8" ht="31.5" x14ac:dyDescent="0.25">
      <c r="A11" s="14">
        <v>1001010106</v>
      </c>
      <c r="B11" s="13" t="s">
        <v>17</v>
      </c>
      <c r="C11" s="13"/>
      <c r="D11" s="13"/>
      <c r="E11" s="18">
        <v>235000</v>
      </c>
      <c r="F11" s="13"/>
      <c r="G11" s="13"/>
      <c r="H11" s="13"/>
    </row>
    <row r="12" spans="1:8" ht="31.5" x14ac:dyDescent="0.25">
      <c r="A12" s="13">
        <v>1001010208</v>
      </c>
      <c r="B12" s="13" t="s">
        <v>18</v>
      </c>
      <c r="C12" s="13"/>
      <c r="D12" s="13"/>
      <c r="E12" s="18">
        <v>2239000</v>
      </c>
      <c r="F12" s="13"/>
      <c r="G12" s="13"/>
      <c r="H12" s="14"/>
    </row>
    <row r="13" spans="1:8" x14ac:dyDescent="0.25">
      <c r="A13" s="14">
        <v>1001020406</v>
      </c>
      <c r="B13" s="13" t="s">
        <v>19</v>
      </c>
      <c r="C13" s="13"/>
      <c r="D13" s="13"/>
      <c r="E13" s="19">
        <v>351000</v>
      </c>
      <c r="F13" s="13"/>
      <c r="G13" s="13"/>
      <c r="H13" s="13"/>
    </row>
    <row r="14" spans="1:8" x14ac:dyDescent="0.25">
      <c r="A14" s="13">
        <v>1001020406</v>
      </c>
      <c r="B14" s="13" t="s">
        <v>20</v>
      </c>
      <c r="C14" s="13"/>
      <c r="D14" s="13"/>
      <c r="E14" s="18">
        <v>351000</v>
      </c>
      <c r="F14" s="13"/>
      <c r="G14" s="13"/>
      <c r="H14" s="13"/>
    </row>
    <row r="15" spans="1:8" x14ac:dyDescent="0.25">
      <c r="A15" s="14">
        <v>1001030101</v>
      </c>
      <c r="B15" s="13" t="s">
        <v>21</v>
      </c>
      <c r="C15" s="13"/>
      <c r="D15" s="13"/>
      <c r="E15" s="18">
        <v>44000</v>
      </c>
      <c r="F15" s="13"/>
      <c r="G15" s="13"/>
      <c r="H15" s="13"/>
    </row>
    <row r="16" spans="1:8" x14ac:dyDescent="0.25">
      <c r="A16" s="13">
        <v>1001030205</v>
      </c>
      <c r="B16" s="13" t="s">
        <v>22</v>
      </c>
      <c r="C16" s="13"/>
      <c r="D16" s="13"/>
      <c r="E16" s="18">
        <v>30000</v>
      </c>
      <c r="F16" s="13"/>
      <c r="G16" s="13"/>
      <c r="H16" s="13"/>
    </row>
    <row r="17" spans="1:8" ht="31.5" x14ac:dyDescent="0.25">
      <c r="A17" s="14">
        <v>1001030206</v>
      </c>
      <c r="B17" s="13" t="s">
        <v>23</v>
      </c>
      <c r="C17" s="13"/>
      <c r="D17" s="13"/>
      <c r="E17" s="19">
        <v>20000</v>
      </c>
      <c r="F17" s="13"/>
      <c r="G17" s="13"/>
      <c r="H17" s="13"/>
    </row>
    <row r="18" spans="1:8" x14ac:dyDescent="0.25">
      <c r="A18" s="13">
        <v>1001030207</v>
      </c>
      <c r="B18" s="13" t="s">
        <v>24</v>
      </c>
      <c r="C18" s="13"/>
      <c r="D18" s="13"/>
      <c r="E18" s="18">
        <v>20000</v>
      </c>
      <c r="F18" s="13"/>
      <c r="G18" s="13"/>
      <c r="H18" s="13"/>
    </row>
    <row r="19" spans="1:8" x14ac:dyDescent="0.25">
      <c r="A19" s="14">
        <v>1001030208</v>
      </c>
      <c r="B19" s="13" t="s">
        <v>25</v>
      </c>
      <c r="C19" s="13"/>
      <c r="D19" s="13"/>
      <c r="E19" s="18">
        <v>0</v>
      </c>
      <c r="F19" s="13"/>
      <c r="G19" s="13"/>
      <c r="H19" s="13"/>
    </row>
    <row r="20" spans="1:8" x14ac:dyDescent="0.25">
      <c r="A20" s="13">
        <v>1001030303</v>
      </c>
      <c r="B20" s="13" t="s">
        <v>26</v>
      </c>
      <c r="C20" s="13"/>
      <c r="D20" s="13"/>
      <c r="E20" s="18">
        <v>58000</v>
      </c>
      <c r="F20" s="13"/>
      <c r="G20" s="13"/>
      <c r="H20" s="13"/>
    </row>
    <row r="21" spans="1:8" x14ac:dyDescent="0.25">
      <c r="A21" s="14">
        <v>1001050202</v>
      </c>
      <c r="B21" s="13" t="s">
        <v>27</v>
      </c>
      <c r="C21" s="13"/>
      <c r="D21" s="13"/>
      <c r="E21" s="18">
        <v>0</v>
      </c>
      <c r="F21" s="13"/>
      <c r="G21" s="13"/>
      <c r="H21" s="13"/>
    </row>
    <row r="22" spans="1:8" x14ac:dyDescent="0.25">
      <c r="A22" s="13">
        <v>1001050204</v>
      </c>
      <c r="B22" s="13" t="s">
        <v>28</v>
      </c>
      <c r="C22" s="13"/>
      <c r="D22" s="13"/>
      <c r="E22" s="18">
        <v>12000</v>
      </c>
      <c r="F22" s="13"/>
      <c r="G22" s="13"/>
      <c r="H22" s="13"/>
    </row>
    <row r="23" spans="1:8" x14ac:dyDescent="0.25">
      <c r="A23" s="14">
        <v>1001050204</v>
      </c>
      <c r="B23" s="13" t="s">
        <v>29</v>
      </c>
      <c r="C23" s="13"/>
      <c r="D23" s="13"/>
      <c r="E23" s="18">
        <v>12000</v>
      </c>
      <c r="F23" s="13"/>
      <c r="G23" s="13"/>
      <c r="H23" s="13"/>
    </row>
    <row r="24" spans="1:8" x14ac:dyDescent="0.25">
      <c r="A24" s="13">
        <v>1001050205</v>
      </c>
      <c r="B24" s="13" t="s">
        <v>30</v>
      </c>
      <c r="C24" s="13"/>
      <c r="D24" s="13"/>
      <c r="E24" s="18">
        <v>0</v>
      </c>
      <c r="F24" s="13"/>
      <c r="G24" s="13"/>
      <c r="H24" s="13"/>
    </row>
    <row r="25" spans="1:8" x14ac:dyDescent="0.25">
      <c r="A25" s="13">
        <v>1001060101</v>
      </c>
      <c r="B25" s="13" t="s">
        <v>31</v>
      </c>
      <c r="C25" s="13"/>
      <c r="D25" s="13"/>
      <c r="E25" s="19">
        <v>0</v>
      </c>
      <c r="F25" s="13"/>
      <c r="G25" s="13"/>
      <c r="H25" s="13"/>
    </row>
    <row r="26" spans="1:8" x14ac:dyDescent="0.25">
      <c r="A26" s="13">
        <v>1001060301</v>
      </c>
      <c r="B26" s="13" t="s">
        <v>32</v>
      </c>
      <c r="C26" s="13"/>
      <c r="D26" s="13"/>
      <c r="E26" s="19">
        <v>102000</v>
      </c>
      <c r="F26" s="13"/>
      <c r="G26" s="13"/>
      <c r="H26" s="13"/>
    </row>
    <row r="27" spans="1:8" x14ac:dyDescent="0.25">
      <c r="A27" s="13">
        <v>1001060501</v>
      </c>
      <c r="B27" s="39" t="s">
        <v>33</v>
      </c>
      <c r="C27" s="39"/>
      <c r="D27" s="39"/>
      <c r="E27" s="40">
        <v>3866000</v>
      </c>
      <c r="F27" s="39"/>
      <c r="G27" s="39"/>
      <c r="H27" s="39"/>
    </row>
    <row r="28" spans="1:8" x14ac:dyDescent="0.25">
      <c r="A28" s="13">
        <v>1001060503</v>
      </c>
      <c r="B28" s="13" t="s">
        <v>34</v>
      </c>
      <c r="C28" s="13"/>
      <c r="D28" s="13"/>
      <c r="E28" s="19">
        <v>47000</v>
      </c>
      <c r="F28" s="13"/>
      <c r="G28" s="13"/>
      <c r="H28" s="13"/>
    </row>
    <row r="29" spans="1:8" x14ac:dyDescent="0.25">
      <c r="A29" s="13">
        <v>1001060602</v>
      </c>
      <c r="B29" s="13" t="s">
        <v>35</v>
      </c>
      <c r="C29" s="13"/>
      <c r="D29" s="13"/>
      <c r="E29" s="19">
        <v>5318000</v>
      </c>
      <c r="F29" s="13"/>
      <c r="G29" s="13"/>
      <c r="H29" s="13"/>
    </row>
    <row r="30" spans="1:8" x14ac:dyDescent="0.25">
      <c r="A30" s="13">
        <v>1001060606</v>
      </c>
      <c r="B30" s="13" t="s">
        <v>36</v>
      </c>
      <c r="C30" s="13"/>
      <c r="D30" s="13"/>
      <c r="E30" s="19">
        <v>4150000</v>
      </c>
      <c r="F30" s="13"/>
      <c r="G30" s="13"/>
      <c r="H30" s="13"/>
    </row>
    <row r="31" spans="1:8" x14ac:dyDescent="0.25">
      <c r="A31" s="13">
        <v>1001060607</v>
      </c>
      <c r="B31" s="13" t="s">
        <v>37</v>
      </c>
      <c r="C31" s="13"/>
      <c r="D31" s="13"/>
      <c r="E31" s="19">
        <v>3304000</v>
      </c>
      <c r="F31" s="13"/>
      <c r="G31" s="13"/>
      <c r="H31" s="13"/>
    </row>
    <row r="32" spans="1:8" x14ac:dyDescent="0.25">
      <c r="A32" s="13">
        <v>1001070102</v>
      </c>
      <c r="B32" s="13" t="s">
        <v>38</v>
      </c>
      <c r="C32" s="13"/>
      <c r="D32" s="13"/>
      <c r="E32" s="19">
        <v>2481000</v>
      </c>
      <c r="F32" s="13"/>
      <c r="G32" s="13"/>
      <c r="H32" s="13"/>
    </row>
    <row r="33" spans="1:8" x14ac:dyDescent="0.25">
      <c r="A33" s="13">
        <v>1001080104</v>
      </c>
      <c r="B33" s="13" t="s">
        <v>39</v>
      </c>
      <c r="C33" s="13"/>
      <c r="D33" s="13"/>
      <c r="E33" s="19">
        <v>551000</v>
      </c>
      <c r="F33" s="13"/>
      <c r="G33" s="13"/>
      <c r="H33" s="13"/>
    </row>
    <row r="34" spans="1:8" x14ac:dyDescent="0.25">
      <c r="A34" s="13">
        <v>1001090302</v>
      </c>
      <c r="B34" s="13" t="s">
        <v>40</v>
      </c>
      <c r="C34" s="13"/>
      <c r="D34" s="13"/>
      <c r="E34" s="19">
        <v>3400000</v>
      </c>
      <c r="F34" s="13"/>
      <c r="G34" s="13"/>
      <c r="H34" s="13"/>
    </row>
    <row r="35" spans="1:8" x14ac:dyDescent="0.25">
      <c r="A35" s="13">
        <v>1001090305</v>
      </c>
      <c r="B35" s="13" t="s">
        <v>41</v>
      </c>
      <c r="C35" s="13"/>
      <c r="D35" s="13"/>
      <c r="E35" s="19">
        <v>1830000</v>
      </c>
      <c r="F35" s="13"/>
      <c r="G35" s="13"/>
      <c r="H35" s="13"/>
    </row>
    <row r="36" spans="1:8" x14ac:dyDescent="0.25">
      <c r="A36" s="13">
        <v>1002010105</v>
      </c>
      <c r="B36" s="13" t="s">
        <v>42</v>
      </c>
      <c r="C36" s="13"/>
      <c r="D36" s="13"/>
      <c r="E36" s="19">
        <v>2000</v>
      </c>
      <c r="F36" s="13"/>
      <c r="G36" s="13"/>
      <c r="H36" s="13"/>
    </row>
    <row r="37" spans="1:8" x14ac:dyDescent="0.25">
      <c r="A37" s="13">
        <v>1002010107</v>
      </c>
      <c r="B37" s="13" t="s">
        <v>43</v>
      </c>
      <c r="C37" s="13"/>
      <c r="D37" s="13"/>
      <c r="E37" s="19">
        <v>3000</v>
      </c>
      <c r="F37" s="13"/>
      <c r="G37" s="13"/>
      <c r="H37" s="13"/>
    </row>
    <row r="38" spans="1:8" x14ac:dyDescent="0.25">
      <c r="A38" s="13">
        <v>1002010301</v>
      </c>
      <c r="B38" s="13" t="s">
        <v>44</v>
      </c>
      <c r="C38" s="13"/>
      <c r="D38" s="13"/>
      <c r="E38" s="19">
        <v>182000</v>
      </c>
      <c r="F38" s="13"/>
      <c r="G38" s="13"/>
      <c r="H38" s="13"/>
    </row>
    <row r="39" spans="1:8" x14ac:dyDescent="0.25">
      <c r="A39" s="13">
        <v>1002010302</v>
      </c>
      <c r="B39" s="13" t="s">
        <v>45</v>
      </c>
      <c r="C39" s="13"/>
      <c r="D39" s="13"/>
      <c r="E39" s="19">
        <v>31000</v>
      </c>
      <c r="F39" s="13"/>
      <c r="G39" s="13"/>
      <c r="H39" s="13"/>
    </row>
    <row r="40" spans="1:8" x14ac:dyDescent="0.25">
      <c r="A40" s="13">
        <v>1002010303</v>
      </c>
      <c r="B40" s="13" t="s">
        <v>46</v>
      </c>
      <c r="C40" s="13"/>
      <c r="D40" s="13"/>
      <c r="E40" s="19">
        <v>25000</v>
      </c>
      <c r="F40" s="13"/>
      <c r="G40" s="13"/>
      <c r="H40" s="13"/>
    </row>
    <row r="41" spans="1:8" x14ac:dyDescent="0.25">
      <c r="A41" s="13">
        <v>1002010304</v>
      </c>
      <c r="B41" s="13" t="s">
        <v>47</v>
      </c>
      <c r="C41" s="13"/>
      <c r="D41" s="13"/>
      <c r="E41" s="19">
        <v>0</v>
      </c>
      <c r="F41" s="13"/>
      <c r="G41" s="13"/>
      <c r="H41" s="13"/>
    </row>
    <row r="42" spans="1:8" x14ac:dyDescent="0.25">
      <c r="A42" s="13">
        <v>1002010305</v>
      </c>
      <c r="B42" s="13" t="s">
        <v>48</v>
      </c>
      <c r="C42" s="13"/>
      <c r="D42" s="13"/>
      <c r="E42" s="19">
        <v>1000</v>
      </c>
      <c r="F42" s="13"/>
      <c r="G42" s="13"/>
      <c r="H42" s="13"/>
    </row>
    <row r="43" spans="1:8" x14ac:dyDescent="0.25">
      <c r="A43" s="13">
        <v>1002010308</v>
      </c>
      <c r="B43" s="13" t="s">
        <v>49</v>
      </c>
      <c r="C43" s="13"/>
      <c r="D43" s="13"/>
      <c r="E43" s="19">
        <v>3000</v>
      </c>
      <c r="F43" s="13"/>
      <c r="G43" s="13"/>
      <c r="H43" s="13"/>
    </row>
    <row r="44" spans="1:8" x14ac:dyDescent="0.25">
      <c r="A44" s="13">
        <v>1002010401</v>
      </c>
      <c r="B44" s="13" t="s">
        <v>50</v>
      </c>
      <c r="C44" s="13"/>
      <c r="D44" s="13"/>
      <c r="E44" s="19">
        <v>2000</v>
      </c>
      <c r="F44" s="13"/>
      <c r="G44" s="13"/>
      <c r="H44" s="13"/>
    </row>
    <row r="45" spans="1:8" x14ac:dyDescent="0.25">
      <c r="A45" s="13">
        <v>1002010405</v>
      </c>
      <c r="B45" s="13" t="s">
        <v>51</v>
      </c>
      <c r="C45" s="13"/>
      <c r="D45" s="13"/>
      <c r="E45" s="19">
        <v>0</v>
      </c>
      <c r="F45" s="13"/>
      <c r="G45" s="13"/>
      <c r="H45" s="13"/>
    </row>
    <row r="46" spans="1:8" x14ac:dyDescent="0.25">
      <c r="A46" s="13">
        <v>1002010410</v>
      </c>
      <c r="B46" s="13" t="s">
        <v>52</v>
      </c>
      <c r="C46" s="13"/>
      <c r="D46" s="13"/>
      <c r="E46" s="19">
        <v>0</v>
      </c>
      <c r="F46" s="13"/>
      <c r="G46" s="13"/>
      <c r="H46" s="13"/>
    </row>
    <row r="47" spans="1:8" x14ac:dyDescent="0.25">
      <c r="A47" s="13">
        <v>1002010411</v>
      </c>
      <c r="B47" s="13" t="s">
        <v>53</v>
      </c>
      <c r="C47" s="13"/>
      <c r="D47" s="13"/>
      <c r="E47" s="19">
        <v>4000</v>
      </c>
      <c r="F47" s="13"/>
      <c r="G47" s="13"/>
      <c r="H47" s="13"/>
    </row>
    <row r="48" spans="1:8" x14ac:dyDescent="0.25">
      <c r="A48" s="13">
        <v>1002010412</v>
      </c>
      <c r="B48" s="13" t="s">
        <v>54</v>
      </c>
      <c r="C48" s="13"/>
      <c r="D48" s="13"/>
      <c r="E48" s="19">
        <v>4000</v>
      </c>
      <c r="F48" s="13"/>
      <c r="G48" s="13"/>
      <c r="H48" s="13"/>
    </row>
    <row r="49" spans="1:8" x14ac:dyDescent="0.25">
      <c r="A49" s="13">
        <v>1002010413</v>
      </c>
      <c r="B49" s="13" t="s">
        <v>55</v>
      </c>
      <c r="C49" s="13"/>
      <c r="D49" s="13"/>
      <c r="E49" s="19">
        <v>13000</v>
      </c>
      <c r="F49" s="13"/>
      <c r="G49" s="13"/>
      <c r="H49" s="13"/>
    </row>
    <row r="50" spans="1:8" x14ac:dyDescent="0.25">
      <c r="A50" s="13">
        <v>1002010414</v>
      </c>
      <c r="B50" s="13" t="s">
        <v>56</v>
      </c>
      <c r="C50" s="13"/>
      <c r="D50" s="13"/>
      <c r="E50" s="19">
        <v>1000</v>
      </c>
      <c r="F50" s="13"/>
      <c r="G50" s="13"/>
      <c r="H50" s="13"/>
    </row>
    <row r="51" spans="1:8" x14ac:dyDescent="0.25">
      <c r="A51" s="13">
        <v>1002020101</v>
      </c>
      <c r="B51" s="13" t="s">
        <v>57</v>
      </c>
      <c r="C51" s="13"/>
      <c r="D51" s="13"/>
      <c r="E51" s="19">
        <v>272000</v>
      </c>
      <c r="F51" s="13"/>
      <c r="G51" s="13"/>
      <c r="H51" s="13"/>
    </row>
    <row r="52" spans="1:8" x14ac:dyDescent="0.25">
      <c r="A52" s="13">
        <v>1002030101</v>
      </c>
      <c r="B52" s="13" t="s">
        <v>58</v>
      </c>
      <c r="C52" s="13"/>
      <c r="D52" s="13"/>
      <c r="E52" s="19">
        <v>298000</v>
      </c>
      <c r="F52" s="13"/>
      <c r="G52" s="13"/>
      <c r="H52" s="13"/>
    </row>
    <row r="53" spans="1:8" x14ac:dyDescent="0.25">
      <c r="A53" s="13">
        <v>1002030102</v>
      </c>
      <c r="B53" s="13" t="s">
        <v>59</v>
      </c>
      <c r="C53" s="13"/>
      <c r="D53" s="13"/>
      <c r="E53" s="19">
        <v>9000</v>
      </c>
      <c r="F53" s="13"/>
      <c r="G53" s="13"/>
      <c r="H53" s="13"/>
    </row>
    <row r="54" spans="1:8" x14ac:dyDescent="0.25">
      <c r="A54" s="13">
        <v>1002040201</v>
      </c>
      <c r="B54" s="13" t="s">
        <v>60</v>
      </c>
      <c r="C54" s="13"/>
      <c r="D54" s="13"/>
      <c r="E54" s="19">
        <v>125000</v>
      </c>
      <c r="F54" s="13"/>
      <c r="G54" s="13"/>
      <c r="H54" s="13"/>
    </row>
    <row r="55" spans="1:8" x14ac:dyDescent="0.25">
      <c r="A55" s="13">
        <v>1002040202</v>
      </c>
      <c r="B55" s="13" t="s">
        <v>61</v>
      </c>
      <c r="C55" s="13"/>
      <c r="D55" s="13"/>
      <c r="E55" s="19">
        <v>1000</v>
      </c>
      <c r="F55" s="13"/>
      <c r="G55" s="13"/>
      <c r="H55" s="13"/>
    </row>
    <row r="56" spans="1:8" x14ac:dyDescent="0.25">
      <c r="A56" s="13">
        <v>1002050101</v>
      </c>
      <c r="B56" s="13" t="s">
        <v>62</v>
      </c>
      <c r="C56" s="13"/>
      <c r="D56" s="13"/>
      <c r="E56" s="19">
        <v>0</v>
      </c>
      <c r="F56" s="13"/>
      <c r="G56" s="13"/>
      <c r="H56" s="13"/>
    </row>
    <row r="57" spans="1:8" x14ac:dyDescent="0.25">
      <c r="A57" s="13">
        <v>1002050103</v>
      </c>
      <c r="B57" s="13" t="s">
        <v>63</v>
      </c>
      <c r="C57" s="13"/>
      <c r="D57" s="13"/>
      <c r="E57" s="19">
        <v>12000</v>
      </c>
      <c r="F57" s="13"/>
      <c r="G57" s="13"/>
      <c r="H57" s="13"/>
    </row>
    <row r="58" spans="1:8" x14ac:dyDescent="0.25">
      <c r="A58" s="13">
        <v>1002060101</v>
      </c>
      <c r="B58" s="13" t="s">
        <v>64</v>
      </c>
      <c r="C58" s="13"/>
      <c r="D58" s="13"/>
      <c r="E58" s="19">
        <v>0</v>
      </c>
      <c r="F58" s="13"/>
      <c r="G58" s="13"/>
      <c r="H58" s="13"/>
    </row>
    <row r="59" spans="1:8" x14ac:dyDescent="0.25">
      <c r="A59" s="13">
        <v>1002060102</v>
      </c>
      <c r="B59" s="13" t="s">
        <v>65</v>
      </c>
      <c r="C59" s="13"/>
      <c r="D59" s="13"/>
      <c r="E59" s="19">
        <v>7000</v>
      </c>
      <c r="F59" s="13"/>
      <c r="G59" s="13"/>
      <c r="H59" s="13"/>
    </row>
    <row r="60" spans="1:8" x14ac:dyDescent="0.25">
      <c r="A60" s="13">
        <v>1002070104</v>
      </c>
      <c r="B60" s="13" t="s">
        <v>66</v>
      </c>
      <c r="C60" s="13"/>
      <c r="D60" s="13"/>
      <c r="E60" s="19">
        <v>0</v>
      </c>
      <c r="F60" s="13"/>
      <c r="G60" s="13"/>
      <c r="H60" s="13"/>
    </row>
    <row r="61" spans="1:8" x14ac:dyDescent="0.25">
      <c r="A61" s="13">
        <v>1002070108</v>
      </c>
      <c r="B61" s="13" t="s">
        <v>67</v>
      </c>
      <c r="C61" s="13"/>
      <c r="D61" s="13"/>
      <c r="E61" s="19">
        <v>0</v>
      </c>
      <c r="F61" s="13"/>
      <c r="G61" s="13"/>
      <c r="H61" s="13"/>
    </row>
    <row r="62" spans="1:8" x14ac:dyDescent="0.25">
      <c r="A62" s="13">
        <v>1002080101</v>
      </c>
      <c r="B62" s="13" t="s">
        <v>68</v>
      </c>
      <c r="C62" s="13"/>
      <c r="D62" s="13"/>
      <c r="E62" s="19">
        <v>51000</v>
      </c>
      <c r="F62" s="13"/>
      <c r="G62" s="13"/>
      <c r="H62" s="13"/>
    </row>
    <row r="63" spans="1:8" x14ac:dyDescent="0.25">
      <c r="A63" s="13">
        <v>1002080102</v>
      </c>
      <c r="B63" s="13" t="s">
        <v>69</v>
      </c>
      <c r="C63" s="13"/>
      <c r="D63" s="13"/>
      <c r="E63" s="19">
        <v>13000</v>
      </c>
      <c r="F63" s="13"/>
      <c r="G63" s="13"/>
      <c r="H63" s="13"/>
    </row>
    <row r="64" spans="1:8" x14ac:dyDescent="0.25">
      <c r="A64" s="13">
        <v>1002080103</v>
      </c>
      <c r="B64" s="13" t="s">
        <v>70</v>
      </c>
      <c r="C64" s="13"/>
      <c r="D64" s="13"/>
      <c r="E64" s="19">
        <v>16000</v>
      </c>
      <c r="F64" s="13"/>
      <c r="G64" s="13"/>
      <c r="H64" s="13"/>
    </row>
    <row r="65" spans="1:8" x14ac:dyDescent="0.25">
      <c r="A65" s="13">
        <v>1002080104</v>
      </c>
      <c r="B65" s="13" t="s">
        <v>71</v>
      </c>
      <c r="C65" s="13"/>
      <c r="D65" s="13"/>
      <c r="E65" s="19">
        <v>34000</v>
      </c>
      <c r="F65" s="13"/>
      <c r="G65" s="13"/>
      <c r="H65" s="13"/>
    </row>
    <row r="66" spans="1:8" x14ac:dyDescent="0.25">
      <c r="A66" s="13">
        <v>1002080201</v>
      </c>
      <c r="B66" s="13" t="s">
        <v>72</v>
      </c>
      <c r="C66" s="13"/>
      <c r="D66" s="13"/>
      <c r="E66" s="19">
        <v>23000</v>
      </c>
      <c r="F66" s="13"/>
      <c r="G66" s="13"/>
      <c r="H66" s="13"/>
    </row>
    <row r="67" spans="1:8" x14ac:dyDescent="0.25">
      <c r="A67" s="13">
        <v>1002080202</v>
      </c>
      <c r="B67" s="13" t="s">
        <v>73</v>
      </c>
      <c r="C67" s="13"/>
      <c r="D67" s="13"/>
      <c r="E67" s="19">
        <v>4000</v>
      </c>
      <c r="F67" s="13"/>
      <c r="G67" s="13"/>
      <c r="H67" s="13"/>
    </row>
    <row r="68" spans="1:8" x14ac:dyDescent="0.25">
      <c r="A68" s="13">
        <v>1002080203</v>
      </c>
      <c r="B68" s="13" t="s">
        <v>74</v>
      </c>
      <c r="C68" s="13"/>
      <c r="D68" s="13"/>
      <c r="E68" s="19">
        <v>9000</v>
      </c>
      <c r="F68" s="13"/>
      <c r="G68" s="13"/>
      <c r="H68" s="13"/>
    </row>
    <row r="69" spans="1:8" x14ac:dyDescent="0.25">
      <c r="A69" s="13">
        <v>1002080204</v>
      </c>
      <c r="B69" s="13" t="s">
        <v>75</v>
      </c>
      <c r="C69" s="13"/>
      <c r="D69" s="13"/>
      <c r="E69" s="19">
        <v>28000</v>
      </c>
      <c r="F69" s="13"/>
      <c r="G69" s="13"/>
      <c r="H69" s="13"/>
    </row>
    <row r="70" spans="1:8" x14ac:dyDescent="0.25">
      <c r="A70" s="13">
        <v>1002080302</v>
      </c>
      <c r="B70" s="13" t="s">
        <v>76</v>
      </c>
      <c r="C70" s="13"/>
      <c r="D70" s="13"/>
      <c r="E70" s="19">
        <v>3000</v>
      </c>
      <c r="F70" s="13"/>
      <c r="G70" s="13"/>
      <c r="H70" s="13"/>
    </row>
    <row r="71" spans="1:8" x14ac:dyDescent="0.25">
      <c r="A71" s="13">
        <v>1002080303</v>
      </c>
      <c r="B71" s="13" t="s">
        <v>77</v>
      </c>
      <c r="C71" s="13"/>
      <c r="D71" s="13"/>
      <c r="E71" s="19">
        <v>4000</v>
      </c>
      <c r="F71" s="13"/>
      <c r="G71" s="13"/>
      <c r="H71" s="13"/>
    </row>
    <row r="72" spans="1:8" x14ac:dyDescent="0.25">
      <c r="A72" s="13">
        <v>1002080304</v>
      </c>
      <c r="B72" s="13" t="s">
        <v>78</v>
      </c>
      <c r="C72" s="13"/>
      <c r="D72" s="13"/>
      <c r="E72" s="19">
        <v>2000</v>
      </c>
      <c r="F72" s="13"/>
      <c r="G72" s="13"/>
      <c r="H72" s="13"/>
    </row>
    <row r="73" spans="1:8" x14ac:dyDescent="0.25">
      <c r="A73" s="13">
        <v>1002080401</v>
      </c>
      <c r="B73" s="13" t="s">
        <v>79</v>
      </c>
      <c r="C73" s="13"/>
      <c r="D73" s="13"/>
      <c r="E73" s="19">
        <v>8000</v>
      </c>
      <c r="F73" s="13"/>
      <c r="G73" s="13"/>
      <c r="H73" s="13"/>
    </row>
    <row r="74" spans="1:8" x14ac:dyDescent="0.25">
      <c r="A74" s="13">
        <v>1002080402</v>
      </c>
      <c r="B74" s="13" t="s">
        <v>80</v>
      </c>
      <c r="C74" s="13"/>
      <c r="D74" s="13"/>
      <c r="E74" s="19">
        <v>16000</v>
      </c>
      <c r="F74" s="13"/>
      <c r="G74" s="13"/>
      <c r="H74" s="13"/>
    </row>
    <row r="75" spans="1:8" x14ac:dyDescent="0.25">
      <c r="A75" s="13">
        <v>1002080501</v>
      </c>
      <c r="B75" s="13" t="s">
        <v>81</v>
      </c>
      <c r="C75" s="13"/>
      <c r="D75" s="13"/>
      <c r="E75" s="19">
        <v>1000</v>
      </c>
      <c r="F75" s="13"/>
      <c r="G75" s="13"/>
      <c r="H75" s="13"/>
    </row>
    <row r="76" spans="1:8" x14ac:dyDescent="0.25">
      <c r="A76" s="13">
        <v>1002080502</v>
      </c>
      <c r="B76" s="13" t="s">
        <v>82</v>
      </c>
      <c r="C76" s="13"/>
      <c r="D76" s="13"/>
      <c r="E76" s="19">
        <v>4000</v>
      </c>
      <c r="F76" s="13"/>
      <c r="G76" s="13"/>
      <c r="H76" s="13"/>
    </row>
    <row r="77" spans="1:8" x14ac:dyDescent="0.25">
      <c r="A77" s="13">
        <v>1002080601</v>
      </c>
      <c r="B77" s="13" t="s">
        <v>83</v>
      </c>
      <c r="C77" s="13"/>
      <c r="D77" s="13"/>
      <c r="E77" s="19">
        <v>2000</v>
      </c>
      <c r="F77" s="13"/>
      <c r="G77" s="13"/>
      <c r="H77" s="13"/>
    </row>
    <row r="78" spans="1:8" x14ac:dyDescent="0.25">
      <c r="A78" s="13">
        <v>1002080701</v>
      </c>
      <c r="B78" s="13" t="s">
        <v>84</v>
      </c>
      <c r="C78" s="13"/>
      <c r="D78" s="13"/>
      <c r="E78" s="19">
        <v>4000</v>
      </c>
      <c r="F78" s="13"/>
      <c r="G78" s="13"/>
      <c r="H78" s="13"/>
    </row>
    <row r="79" spans="1:8" ht="31.5" x14ac:dyDescent="0.25">
      <c r="A79" s="13">
        <v>1002080801</v>
      </c>
      <c r="B79" s="13" t="s">
        <v>85</v>
      </c>
      <c r="C79" s="13"/>
      <c r="D79" s="13"/>
      <c r="E79" s="19">
        <v>1000</v>
      </c>
      <c r="F79" s="13"/>
      <c r="G79" s="13"/>
      <c r="H79" s="13"/>
    </row>
    <row r="80" spans="1:8" x14ac:dyDescent="0.25">
      <c r="A80" s="13">
        <v>1002080901</v>
      </c>
      <c r="B80" s="13" t="s">
        <v>86</v>
      </c>
      <c r="C80" s="13"/>
      <c r="D80" s="13"/>
      <c r="E80" s="19">
        <v>0</v>
      </c>
      <c r="F80" s="13"/>
      <c r="G80" s="13"/>
      <c r="H80" s="13"/>
    </row>
    <row r="81" spans="1:8" x14ac:dyDescent="0.25">
      <c r="A81" s="13">
        <v>1002090101</v>
      </c>
      <c r="B81" s="13" t="s">
        <v>87</v>
      </c>
      <c r="C81" s="13"/>
      <c r="D81" s="13"/>
      <c r="E81" s="19">
        <v>160000</v>
      </c>
      <c r="F81" s="13"/>
      <c r="G81" s="13"/>
      <c r="H81" s="13"/>
    </row>
    <row r="82" spans="1:8" x14ac:dyDescent="0.25">
      <c r="A82" s="13">
        <v>1002100102</v>
      </c>
      <c r="B82" s="13" t="s">
        <v>88</v>
      </c>
      <c r="C82" s="13"/>
      <c r="D82" s="13"/>
      <c r="E82" s="19">
        <v>12000</v>
      </c>
      <c r="F82" s="13"/>
      <c r="G82" s="13"/>
      <c r="H82" s="13"/>
    </row>
    <row r="83" spans="1:8" x14ac:dyDescent="0.25">
      <c r="A83" s="39">
        <v>1002110101</v>
      </c>
      <c r="B83" s="39" t="s">
        <v>89</v>
      </c>
      <c r="C83" s="39"/>
      <c r="D83" s="39"/>
      <c r="E83" s="40">
        <v>160000</v>
      </c>
      <c r="F83" s="39"/>
      <c r="G83" s="39"/>
      <c r="H83" s="39"/>
    </row>
    <row r="84" spans="1:8" x14ac:dyDescent="0.25">
      <c r="A84" s="39">
        <v>1002110104</v>
      </c>
      <c r="B84" s="39" t="s">
        <v>90</v>
      </c>
      <c r="C84" s="39"/>
      <c r="D84" s="39"/>
      <c r="E84" s="40">
        <v>12000</v>
      </c>
      <c r="F84" s="39"/>
      <c r="G84" s="39"/>
      <c r="H84" s="39"/>
    </row>
    <row r="85" spans="1:8" x14ac:dyDescent="0.25">
      <c r="A85" s="13">
        <v>1002110204</v>
      </c>
      <c r="B85" s="13" t="s">
        <v>91</v>
      </c>
      <c r="C85" s="13"/>
      <c r="D85" s="13"/>
      <c r="E85" s="19">
        <v>129000</v>
      </c>
      <c r="F85" s="13"/>
      <c r="G85" s="13"/>
      <c r="H85" s="13"/>
    </row>
    <row r="86" spans="1:8" x14ac:dyDescent="0.25">
      <c r="A86" s="39">
        <v>1002110206</v>
      </c>
      <c r="B86" s="39" t="s">
        <v>92</v>
      </c>
      <c r="C86" s="39"/>
      <c r="D86" s="39"/>
      <c r="E86" s="40">
        <v>20000</v>
      </c>
      <c r="F86" s="39"/>
      <c r="G86" s="39"/>
      <c r="H86" s="39"/>
    </row>
    <row r="87" spans="1:8" x14ac:dyDescent="0.25">
      <c r="A87" s="39">
        <v>1003080105</v>
      </c>
      <c r="B87" s="39" t="s">
        <v>93</v>
      </c>
      <c r="C87" s="39"/>
      <c r="D87" s="39"/>
      <c r="E87" s="40">
        <v>505000</v>
      </c>
      <c r="F87" s="39"/>
      <c r="G87" s="39"/>
      <c r="H87" s="39"/>
    </row>
    <row r="88" spans="1:8" x14ac:dyDescent="0.25">
      <c r="A88" s="39">
        <v>1003080106</v>
      </c>
      <c r="B88" s="39" t="s">
        <v>94</v>
      </c>
      <c r="C88" s="39"/>
      <c r="D88" s="39"/>
      <c r="E88" s="40">
        <v>38000</v>
      </c>
      <c r="F88" s="39"/>
      <c r="G88" s="39"/>
      <c r="H88" s="39"/>
    </row>
    <row r="89" spans="1:8" x14ac:dyDescent="0.25">
      <c r="A89" s="39">
        <v>1003080203</v>
      </c>
      <c r="B89" s="39" t="s">
        <v>95</v>
      </c>
      <c r="C89" s="39"/>
      <c r="D89" s="39"/>
      <c r="E89" s="40">
        <v>841000</v>
      </c>
      <c r="F89" s="39"/>
      <c r="G89" s="39"/>
      <c r="H89" s="39"/>
    </row>
    <row r="90" spans="1:8" x14ac:dyDescent="0.25">
      <c r="A90" s="13">
        <v>1003080303</v>
      </c>
      <c r="B90" s="13" t="s">
        <v>96</v>
      </c>
      <c r="C90" s="13"/>
      <c r="D90" s="13"/>
      <c r="E90" s="19">
        <v>566000</v>
      </c>
      <c r="F90" s="13"/>
      <c r="G90" s="13"/>
      <c r="H90" s="39"/>
    </row>
    <row r="91" spans="1:8" x14ac:dyDescent="0.25">
      <c r="A91" s="13">
        <v>1003090101</v>
      </c>
      <c r="B91" s="13" t="s">
        <v>97</v>
      </c>
      <c r="C91" s="13"/>
      <c r="D91" s="13"/>
      <c r="E91" s="19">
        <v>53000</v>
      </c>
      <c r="F91" s="13"/>
      <c r="G91" s="13"/>
      <c r="H91" s="39"/>
    </row>
    <row r="92" spans="1:8" x14ac:dyDescent="0.25">
      <c r="A92" s="13">
        <v>1003090201</v>
      </c>
      <c r="B92" s="13" t="s">
        <v>98</v>
      </c>
      <c r="C92" s="13"/>
      <c r="D92" s="13"/>
      <c r="E92" s="19">
        <v>19000</v>
      </c>
      <c r="F92" s="13"/>
      <c r="G92" s="13"/>
      <c r="H92" s="39"/>
    </row>
    <row r="93" spans="1:8" x14ac:dyDescent="0.25">
      <c r="A93" s="39">
        <v>1003090301</v>
      </c>
      <c r="B93" s="39" t="s">
        <v>99</v>
      </c>
      <c r="C93" s="39"/>
      <c r="D93" s="39"/>
      <c r="E93" s="40">
        <v>1462000</v>
      </c>
      <c r="F93" s="39"/>
      <c r="G93" s="39"/>
      <c r="H93" s="39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337"/>
  <sheetViews>
    <sheetView zoomScale="70" zoomScaleNormal="7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G56" sqref="G56:G77"/>
    </sheetView>
  </sheetViews>
  <sheetFormatPr defaultColWidth="77.28515625" defaultRowHeight="15.75" x14ac:dyDescent="0.25"/>
  <cols>
    <col min="1" max="1" width="16.140625" style="84" bestFit="1" customWidth="1"/>
    <col min="2" max="2" width="37.28515625" style="83" bestFit="1" customWidth="1"/>
    <col min="3" max="3" width="43" style="84" bestFit="1" customWidth="1"/>
    <col min="4" max="4" width="20.28515625" style="84" bestFit="1" customWidth="1"/>
    <col min="5" max="5" width="22.42578125" style="84" bestFit="1" customWidth="1"/>
    <col min="6" max="6" width="37.85546875" style="84" bestFit="1" customWidth="1"/>
    <col min="7" max="7" width="32.5703125" style="84" bestFit="1" customWidth="1"/>
    <col min="8" max="8" width="37.85546875" style="84" bestFit="1" customWidth="1"/>
    <col min="9" max="9" width="32.5703125" style="84" bestFit="1" customWidth="1"/>
    <col min="10" max="10" width="34.5703125" style="84" bestFit="1" customWidth="1"/>
    <col min="11" max="11" width="34.7109375" style="84" bestFit="1" customWidth="1"/>
    <col min="12" max="12" width="37.7109375" style="84" bestFit="1" customWidth="1"/>
    <col min="13" max="13" width="36" style="84" bestFit="1" customWidth="1"/>
    <col min="14" max="14" width="33.5703125" style="84" bestFit="1" customWidth="1"/>
    <col min="15" max="15" width="26.7109375" style="84" bestFit="1" customWidth="1"/>
    <col min="16" max="16" width="35.42578125" style="84" bestFit="1" customWidth="1"/>
    <col min="17" max="17" width="53.7109375" style="84" bestFit="1" customWidth="1"/>
    <col min="18" max="18" width="34.7109375" style="84" customWidth="1"/>
    <col min="19" max="19" width="44.7109375" style="84" bestFit="1" customWidth="1"/>
    <col min="20" max="21" width="45.140625" style="84" bestFit="1" customWidth="1"/>
    <col min="22" max="22" width="25.28515625" style="84" bestFit="1" customWidth="1"/>
    <col min="23" max="23" width="16.140625" style="84" bestFit="1" customWidth="1"/>
    <col min="24" max="24" width="77.28515625" style="84" customWidth="1"/>
    <col min="25" max="16384" width="77.28515625" style="84"/>
  </cols>
  <sheetData>
    <row r="1" spans="1:25" ht="16.149999999999999" customHeight="1" thickBot="1" x14ac:dyDescent="0.3">
      <c r="A1" s="118" t="s">
        <v>100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10"/>
      <c r="V1" s="110"/>
      <c r="W1" s="110"/>
      <c r="X1" s="110"/>
    </row>
    <row r="2" spans="1:25" x14ac:dyDescent="0.25">
      <c r="A2" s="59" t="s">
        <v>101</v>
      </c>
      <c r="B2" s="60" t="s">
        <v>102</v>
      </c>
      <c r="C2" s="60" t="s">
        <v>103</v>
      </c>
      <c r="D2" s="60" t="s">
        <v>104</v>
      </c>
      <c r="E2" s="60" t="s">
        <v>8</v>
      </c>
      <c r="F2" s="60" t="s">
        <v>105</v>
      </c>
      <c r="G2" s="60" t="s">
        <v>106</v>
      </c>
      <c r="H2" s="61" t="s">
        <v>107</v>
      </c>
      <c r="I2" s="60" t="s">
        <v>108</v>
      </c>
      <c r="J2" s="60" t="s">
        <v>146</v>
      </c>
      <c r="K2" s="60" t="s">
        <v>147</v>
      </c>
      <c r="L2" s="61" t="s">
        <v>109</v>
      </c>
      <c r="M2" s="62" t="s">
        <v>110</v>
      </c>
      <c r="N2" s="62" t="s">
        <v>111</v>
      </c>
      <c r="O2" s="61" t="s">
        <v>112</v>
      </c>
      <c r="P2" s="61" t="s">
        <v>113</v>
      </c>
      <c r="Q2" s="61" t="s">
        <v>114</v>
      </c>
      <c r="R2" s="61" t="s">
        <v>115</v>
      </c>
      <c r="S2" s="81" t="s">
        <v>116</v>
      </c>
      <c r="T2" s="70" t="s">
        <v>151</v>
      </c>
      <c r="U2" s="110"/>
      <c r="V2" s="110"/>
      <c r="W2" s="110"/>
      <c r="X2" s="110"/>
    </row>
    <row r="3" spans="1:25" ht="16.149999999999999" customHeight="1" x14ac:dyDescent="0.25">
      <c r="A3" s="123">
        <v>1</v>
      </c>
      <c r="B3" s="4" t="s">
        <v>117</v>
      </c>
      <c r="C3" s="4" t="s">
        <v>17</v>
      </c>
      <c r="D3" s="26" t="s">
        <v>118</v>
      </c>
      <c r="E3" s="26"/>
      <c r="F3" s="26"/>
      <c r="G3" s="26"/>
      <c r="H3" s="4">
        <f>Table3[[#This Row],[Required QTY (Kg)]]</f>
        <v>8901.515151515152</v>
      </c>
      <c r="I3" s="111">
        <v>46053.791666666664</v>
      </c>
      <c r="J3" s="58">
        <v>370</v>
      </c>
      <c r="K3" s="58">
        <v>24</v>
      </c>
      <c r="L3" s="5">
        <f>(Table3[[#This Row],[Production Order (kg) ]]/Table3[[#This Row],[Speed]])/Table3[[#This Row],[Working Hours]]</f>
        <v>1.0024228774228774</v>
      </c>
      <c r="M3" s="114">
        <f>Table3[[#This Row],[Start Date]]+Table3[[#This Row],[PPT]]</f>
        <v>46054.794089544084</v>
      </c>
      <c r="N3" s="26"/>
      <c r="O3" s="4">
        <f t="shared" ref="O3:O25" si="0">IF(H3-N3&lt;0,"Done",H3-N3)</f>
        <v>8901.515151515152</v>
      </c>
      <c r="P3" s="4">
        <f>Table3[[#This Row],[Required QTY (Pcs)]]/26.4</f>
        <v>8901.515151515152</v>
      </c>
      <c r="Q3" s="26"/>
      <c r="R3" s="4">
        <f>_xlfn.XLOOKUP(C3,Table6[Item Name],Table6[Qty],"Check QTY")</f>
        <v>235000</v>
      </c>
      <c r="S3" s="124" t="str">
        <f>Table3[[#This Row],[Product]] &amp; "-" &amp; Table3[[#This Row],[Machine]]</f>
        <v>T1160-127-1000g-HM-YG-OFFER-KTR4-1</v>
      </c>
      <c r="T3" s="4">
        <f>Table3[[#This Row],[Production Order (kg) ]]*0.63</f>
        <v>5607.954545454546</v>
      </c>
      <c r="U3" s="110"/>
      <c r="V3" s="110"/>
      <c r="W3" s="110"/>
      <c r="X3" s="110"/>
    </row>
    <row r="4" spans="1:25" x14ac:dyDescent="0.25">
      <c r="A4" s="123">
        <v>2</v>
      </c>
      <c r="B4" s="4" t="s">
        <v>121</v>
      </c>
      <c r="C4" s="4" t="s">
        <v>18</v>
      </c>
      <c r="D4" s="26" t="s">
        <v>122</v>
      </c>
      <c r="E4" s="26"/>
      <c r="F4" s="26"/>
      <c r="G4" s="26"/>
      <c r="H4" s="4">
        <f>Table3[[#This Row],[Required QTY (Kg)]]</f>
        <v>65087.209302325587</v>
      </c>
      <c r="I4" s="111"/>
      <c r="J4" s="58">
        <v>370</v>
      </c>
      <c r="K4" s="58">
        <v>24</v>
      </c>
      <c r="L4" s="5">
        <f>(Table3[[#This Row],[Production Order (kg) ]]/Table3[[#This Row],[Speed]])/Table3[[#This Row],[Working Hours]]</f>
        <v>7.329640687198828</v>
      </c>
      <c r="M4" s="114">
        <f>Table3[[#This Row],[Start Date]]+Table3[[#This Row],[PPT]]</f>
        <v>7.329640687198828</v>
      </c>
      <c r="N4" s="26"/>
      <c r="O4" s="4">
        <f t="shared" si="0"/>
        <v>65087.209302325587</v>
      </c>
      <c r="P4" s="4">
        <f>Table3[[#This Row],[Required QTY (Pcs)]]/34.4</f>
        <v>65087.209302325587</v>
      </c>
      <c r="Q4" s="26"/>
      <c r="R4" s="4">
        <f>_xlfn.XLOOKUP(C4,Table6[Item Name],Table6[Qty],"Check QTY")</f>
        <v>2239000</v>
      </c>
      <c r="S4" s="124" t="str">
        <f>Table3[[#This Row],[Product]] &amp; "-" &amp; Table3[[#This Row],[Machine]]</f>
        <v>T1160-127-700g-HM-YG-OFFER1-KTR4-2</v>
      </c>
      <c r="T4" s="4">
        <f>Table3[[#This Row],[Production Order (kg) ]]*0.63</f>
        <v>41004.941860465122</v>
      </c>
      <c r="U4" s="110"/>
      <c r="V4" s="110"/>
      <c r="W4" s="110"/>
      <c r="X4" s="110"/>
    </row>
    <row r="5" spans="1:25" x14ac:dyDescent="0.25">
      <c r="A5" s="123">
        <v>3</v>
      </c>
      <c r="B5" s="4" t="s">
        <v>123</v>
      </c>
      <c r="C5" s="4" t="s">
        <v>31</v>
      </c>
      <c r="D5" s="26" t="s">
        <v>118</v>
      </c>
      <c r="E5" s="26"/>
      <c r="F5" s="26"/>
      <c r="G5" s="26"/>
      <c r="H5" s="4">
        <f>Table3[[#This Row],[Required QTY (Kg)]]</f>
        <v>0</v>
      </c>
      <c r="I5" s="111"/>
      <c r="J5" s="58">
        <v>270</v>
      </c>
      <c r="K5" s="58">
        <v>24</v>
      </c>
      <c r="L5" s="5">
        <f>(Table3[[#This Row],[Production Order (kg) ]]/Table3[[#This Row],[Speed]])/Table3[[#This Row],[Working Hours]]</f>
        <v>0</v>
      </c>
      <c r="M5" s="114">
        <f>Table3[[#This Row],[Start Date]]+Table3[[#This Row],[PPT]]</f>
        <v>0</v>
      </c>
      <c r="N5" s="26"/>
      <c r="O5" s="4">
        <f t="shared" si="0"/>
        <v>0</v>
      </c>
      <c r="P5" s="4">
        <f>Table3[[#This Row],[Required QTY (Pcs)]]/50.9</f>
        <v>0</v>
      </c>
      <c r="Q5" s="26"/>
      <c r="R5" s="4">
        <f>_xlfn.XLOOKUP(C5,Table6[Item Name],Table6[Qty],"Check QTY")</f>
        <v>0</v>
      </c>
      <c r="S5" s="124" t="str">
        <f>Table3[[#This Row],[Product]] &amp; "-" &amp; Table3[[#This Row],[Machine]]</f>
        <v>T2145-95-500g-HM-YG-KTR4-1</v>
      </c>
      <c r="T5" s="4">
        <f>Table3[[#This Row],[Production Order (kg) ]]*0.58</f>
        <v>0</v>
      </c>
      <c r="U5" s="110"/>
      <c r="V5" s="110"/>
      <c r="W5" s="110"/>
      <c r="X5" s="110"/>
    </row>
    <row r="6" spans="1:25" x14ac:dyDescent="0.25">
      <c r="A6" s="123">
        <v>4</v>
      </c>
      <c r="B6" s="4" t="s">
        <v>124</v>
      </c>
      <c r="C6" s="4" t="s">
        <v>32</v>
      </c>
      <c r="D6" s="26" t="s">
        <v>122</v>
      </c>
      <c r="E6" s="26"/>
      <c r="F6" s="26"/>
      <c r="G6" s="26"/>
      <c r="H6" s="4">
        <f>Table3[[#This Row],[Required QTY (Kg)]]</f>
        <v>1144.7811447811448</v>
      </c>
      <c r="I6" s="111"/>
      <c r="J6" s="58">
        <v>270</v>
      </c>
      <c r="K6" s="58">
        <v>24</v>
      </c>
      <c r="L6" s="5">
        <f>(Table3[[#This Row],[Production Order (kg) ]]/Table3[[#This Row],[Speed]])/Table3[[#This Row],[Working Hours]]</f>
        <v>0.17666375691067049</v>
      </c>
      <c r="M6" s="114">
        <f>Table3[[#This Row],[Start Date]]+Table3[[#This Row],[PPT]]</f>
        <v>0.17666375691067049</v>
      </c>
      <c r="N6" s="26"/>
      <c r="O6" s="4">
        <f t="shared" si="0"/>
        <v>1144.7811447811448</v>
      </c>
      <c r="P6" s="4">
        <f>Table3[[#This Row],[Required QTY (Pcs)]]/89.1</f>
        <v>1144.7811447811448</v>
      </c>
      <c r="Q6" s="26"/>
      <c r="R6" s="4">
        <f>_xlfn.XLOOKUP(C6,Table6[Item Name],Table6[Qty],"Check QTY")</f>
        <v>102000</v>
      </c>
      <c r="S6" s="124" t="str">
        <f>Table3[[#This Row],[Product]] &amp; "-" &amp; Table3[[#This Row],[Machine]]</f>
        <v>T2145-95-180g-HM-YG-KTR4-2</v>
      </c>
      <c r="T6" s="4">
        <f>Table3[[#This Row],[Production Order (kg) ]]*0.58</f>
        <v>663.97306397306397</v>
      </c>
      <c r="U6" s="110"/>
      <c r="V6" s="110"/>
      <c r="W6" s="110"/>
      <c r="X6" s="110"/>
    </row>
    <row r="7" spans="1:25" x14ac:dyDescent="0.25">
      <c r="A7" s="123">
        <v>5</v>
      </c>
      <c r="B7" s="4" t="s">
        <v>125</v>
      </c>
      <c r="C7" s="4" t="s">
        <v>33</v>
      </c>
      <c r="D7" s="26" t="s">
        <v>118</v>
      </c>
      <c r="E7" s="26"/>
      <c r="F7" s="26"/>
      <c r="G7" s="26"/>
      <c r="H7" s="4">
        <f>Table3[[#This Row],[Required QTY (Kg)]]</f>
        <v>41391.86295503212</v>
      </c>
      <c r="I7" s="111"/>
      <c r="J7" s="58">
        <v>270</v>
      </c>
      <c r="K7" s="58">
        <v>24</v>
      </c>
      <c r="L7" s="5">
        <f>(Table3[[#This Row],[Production Order (kg) ]]/Table3[[#This Row],[Speed]])/Table3[[#This Row],[Working Hours]]</f>
        <v>6.3876331720728574</v>
      </c>
      <c r="M7" s="114">
        <f>Table3[[#This Row],[Start Date]]+Table3[[#This Row],[PPT]]</f>
        <v>6.3876331720728574</v>
      </c>
      <c r="N7" s="26"/>
      <c r="O7" s="4">
        <f t="shared" si="0"/>
        <v>41391.86295503212</v>
      </c>
      <c r="P7" s="4">
        <f>Table3[[#This Row],[Required QTY (Pcs)]]/93.4</f>
        <v>41391.86295503212</v>
      </c>
      <c r="Q7" s="26"/>
      <c r="R7" s="4">
        <f>_xlfn.XLOOKUP(C7,Table6[Item Name],Table6[Qty],"Check QTY")</f>
        <v>3866000</v>
      </c>
      <c r="S7" s="124" t="str">
        <f>Table3[[#This Row],[Product]] &amp; "-" &amp; Table3[[#This Row],[Machine]]</f>
        <v>T2145-95-150g-HM-YG-KTR4-1</v>
      </c>
      <c r="T7" s="4">
        <f>Table3[[#This Row],[Production Order (kg) ]]*0.58</f>
        <v>24007.280513918628</v>
      </c>
      <c r="U7" s="110"/>
      <c r="V7" s="110"/>
      <c r="W7" s="110"/>
      <c r="X7" s="110"/>
    </row>
    <row r="8" spans="1:25" x14ac:dyDescent="0.25">
      <c r="A8" s="123">
        <v>6</v>
      </c>
      <c r="B8" s="4" t="s">
        <v>125</v>
      </c>
      <c r="C8" s="4" t="s">
        <v>34</v>
      </c>
      <c r="D8" s="26" t="s">
        <v>122</v>
      </c>
      <c r="E8" s="26"/>
      <c r="F8" s="26"/>
      <c r="G8" s="26"/>
      <c r="H8" s="4">
        <f>Table3[[#This Row],[Required QTY (Kg)]]</f>
        <v>503.21199143468948</v>
      </c>
      <c r="I8" s="111"/>
      <c r="J8" s="58">
        <v>270</v>
      </c>
      <c r="K8" s="58">
        <v>24</v>
      </c>
      <c r="L8" s="5">
        <f>(Table3[[#This Row],[Production Order (kg) ]]/Table3[[#This Row],[Speed]])/Table3[[#This Row],[Working Hours]]</f>
        <v>7.7656171517698991E-2</v>
      </c>
      <c r="M8" s="114">
        <f>Table3[[#This Row],[Start Date]]+Table3[[#This Row],[PPT]]</f>
        <v>7.7656171517698991E-2</v>
      </c>
      <c r="N8" s="26"/>
      <c r="O8" s="4">
        <f t="shared" si="0"/>
        <v>503.21199143468948</v>
      </c>
      <c r="P8" s="4">
        <f>Table3[[#This Row],[Required QTY (Pcs)]]/93.4</f>
        <v>503.21199143468948</v>
      </c>
      <c r="Q8" s="26"/>
      <c r="R8" s="4">
        <f>_xlfn.XLOOKUP(C8,Table6[Item Name],Table6[Qty],"Check QTY")</f>
        <v>47000</v>
      </c>
      <c r="S8" s="124" t="str">
        <f>Table3[[#This Row],[Product]] &amp; "-" &amp; Table3[[#This Row],[Machine]]</f>
        <v>T2145-95-150g-HM-YG-DI-KTR4-2</v>
      </c>
      <c r="T8" s="4">
        <f>Table3[[#This Row],[Production Order (kg) ]]*0.58</f>
        <v>291.86295503211988</v>
      </c>
      <c r="U8" s="110"/>
      <c r="V8" s="110"/>
      <c r="W8" s="110"/>
      <c r="X8" s="110"/>
    </row>
    <row r="9" spans="1:25" x14ac:dyDescent="0.25">
      <c r="A9" s="123">
        <v>7</v>
      </c>
      <c r="B9" s="4" t="s">
        <v>125</v>
      </c>
      <c r="C9" s="4" t="s">
        <v>20</v>
      </c>
      <c r="D9" s="26" t="s">
        <v>118</v>
      </c>
      <c r="E9" s="26"/>
      <c r="F9" s="26"/>
      <c r="G9" s="26"/>
      <c r="H9" s="4">
        <f>Table3[[#This Row],[Required QTY (Kg)]]</f>
        <v>3758.0299785867237</v>
      </c>
      <c r="I9" s="111"/>
      <c r="J9" s="58">
        <v>270</v>
      </c>
      <c r="K9" s="58">
        <v>24</v>
      </c>
      <c r="L9" s="5">
        <f>(Table3[[#This Row],[Production Order (kg) ]]/Table3[[#This Row],[Speed]])/Table3[[#This Row],[Working Hours]]</f>
        <v>0.57994289793004994</v>
      </c>
      <c r="M9" s="114">
        <f>Table3[[#This Row],[Start Date]]+Table3[[#This Row],[PPT]]</f>
        <v>0.57994289793004994</v>
      </c>
      <c r="N9" s="26"/>
      <c r="O9" s="4">
        <f t="shared" si="0"/>
        <v>3758.0299785867237</v>
      </c>
      <c r="P9" s="4">
        <f>Table3[[#This Row],[Required QTY (Pcs)]]/93.4</f>
        <v>3758.0299785867237</v>
      </c>
      <c r="Q9" s="26"/>
      <c r="R9" s="4">
        <f>_xlfn.XLOOKUP(C9,Table6[Item Name],Table6[Qty],"Check QTY")</f>
        <v>351000</v>
      </c>
      <c r="S9" s="124" t="str">
        <f>Table3[[#This Row],[Product]] &amp; "-" &amp; Table3[[#This Row],[Machine]]</f>
        <v>95/150.HM.YG.PP ZA  -KTR4-1</v>
      </c>
      <c r="T9" s="4">
        <f>Table3[[#This Row],[Production Order (kg) ]]*0.58</f>
        <v>2179.6573875802997</v>
      </c>
      <c r="U9" s="110"/>
      <c r="V9" s="110"/>
      <c r="W9" s="110"/>
      <c r="X9" s="110"/>
    </row>
    <row r="10" spans="1:25" x14ac:dyDescent="0.25">
      <c r="A10" s="123">
        <v>8</v>
      </c>
      <c r="B10" s="4" t="s">
        <v>126</v>
      </c>
      <c r="C10" s="4" t="s">
        <v>11</v>
      </c>
      <c r="D10" s="26" t="s">
        <v>122</v>
      </c>
      <c r="E10" s="26"/>
      <c r="F10" s="26"/>
      <c r="G10" s="26"/>
      <c r="H10" s="4">
        <f>Table3[[#This Row],[Required QTY (Kg)]]</f>
        <v>0</v>
      </c>
      <c r="I10" s="111"/>
      <c r="J10" s="58">
        <v>270</v>
      </c>
      <c r="K10" s="58">
        <v>24</v>
      </c>
      <c r="L10" s="5">
        <f>(Table3[[#This Row],[Production Order (kg) ]]/Table3[[#This Row],[Speed]])/Table3[[#This Row],[Working Hours]]</f>
        <v>0</v>
      </c>
      <c r="M10" s="114">
        <f>Table3[[#This Row],[Start Date]]+Table3[[#This Row],[PPT]]</f>
        <v>0</v>
      </c>
      <c r="N10" s="26"/>
      <c r="O10" s="4">
        <f t="shared" si="0"/>
        <v>0</v>
      </c>
      <c r="P10" s="4">
        <f>Table3[[#This Row],[Required QTY (Pcs)]]/101.8</f>
        <v>0</v>
      </c>
      <c r="Q10" s="26"/>
      <c r="R10" s="4">
        <f>_xlfn.XLOOKUP(C10,Table6[Item Name],Table6[Qty],"Check QTY")</f>
        <v>0</v>
      </c>
      <c r="S10" s="124" t="str">
        <f>Table3[[#This Row],[Product]] &amp; "-" &amp; Table3[[#This Row],[Machine]]</f>
        <v>95/150gTeeba yogurt-KTR4-2</v>
      </c>
      <c r="T10" s="4">
        <f>Table3[[#This Row],[Production Order (kg) ]]*0.58</f>
        <v>0</v>
      </c>
      <c r="U10" s="110"/>
      <c r="V10" s="110"/>
      <c r="W10" s="110"/>
      <c r="X10" s="110"/>
    </row>
    <row r="11" spans="1:25" x14ac:dyDescent="0.25">
      <c r="A11" s="123">
        <v>9</v>
      </c>
      <c r="B11" s="4" t="s">
        <v>126</v>
      </c>
      <c r="C11" s="4" t="s">
        <v>35</v>
      </c>
      <c r="D11" s="26" t="s">
        <v>118</v>
      </c>
      <c r="E11" s="26"/>
      <c r="F11" s="26"/>
      <c r="G11" s="26"/>
      <c r="H11" s="4">
        <f>Table3[[#This Row],[Required QTY (Kg)]]</f>
        <v>52239.685658153241</v>
      </c>
      <c r="I11" s="111"/>
      <c r="J11" s="58">
        <v>270</v>
      </c>
      <c r="K11" s="58">
        <v>24</v>
      </c>
      <c r="L11" s="5">
        <f>(Table3[[#This Row],[Production Order (kg) ]]/Table3[[#This Row],[Speed]])/Table3[[#This Row],[Working Hours]]</f>
        <v>8.0616798855174761</v>
      </c>
      <c r="M11" s="114">
        <f>Table3[[#This Row],[Start Date]]+Table3[[#This Row],[PPT]]</f>
        <v>8.0616798855174761</v>
      </c>
      <c r="N11" s="26"/>
      <c r="O11" s="4">
        <f t="shared" si="0"/>
        <v>52239.685658153241</v>
      </c>
      <c r="P11" s="4">
        <f>Table3[[#This Row],[Required QTY (Pcs)]]/101.8</f>
        <v>52239.685658153241</v>
      </c>
      <c r="Q11" s="26"/>
      <c r="R11" s="4">
        <f>_xlfn.XLOOKUP(C11,Table6[Item Name],Table6[Qty],"Check QTY")</f>
        <v>5318000</v>
      </c>
      <c r="S11" s="124" t="str">
        <f>Table3[[#This Row],[Product]] &amp; "-" &amp; Table3[[#This Row],[Machine]]</f>
        <v>T2145-95-125g-HM-YG-KTR4-1</v>
      </c>
      <c r="T11" s="4">
        <f>Table3[[#This Row],[Production Order (kg) ]]*0.58</f>
        <v>30299.017681728878</v>
      </c>
      <c r="U11" s="110"/>
      <c r="V11" s="110"/>
      <c r="W11" s="110"/>
      <c r="X11" s="110"/>
    </row>
    <row r="12" spans="1:25" x14ac:dyDescent="0.25">
      <c r="A12" s="123">
        <v>10</v>
      </c>
      <c r="B12" s="4" t="s">
        <v>126</v>
      </c>
      <c r="C12" s="4" t="s">
        <v>36</v>
      </c>
      <c r="D12" s="26" t="s">
        <v>122</v>
      </c>
      <c r="E12" s="26"/>
      <c r="F12" s="26"/>
      <c r="G12" s="26"/>
      <c r="H12" s="4">
        <f>Table3[[#This Row],[Required QTY (Kg)]]</f>
        <v>40766.208251473479</v>
      </c>
      <c r="I12" s="111"/>
      <c r="J12" s="58">
        <v>270</v>
      </c>
      <c r="K12" s="58">
        <v>24</v>
      </c>
      <c r="L12" s="5">
        <f>(Table3[[#This Row],[Production Order (kg) ]]/Table3[[#This Row],[Speed]])/Table3[[#This Row],[Working Hours]]</f>
        <v>6.2910815202891177</v>
      </c>
      <c r="M12" s="114">
        <f>Table3[[#This Row],[Start Date]]+Table3[[#This Row],[PPT]]</f>
        <v>6.2910815202891177</v>
      </c>
      <c r="N12" s="26"/>
      <c r="O12" s="4">
        <f t="shared" si="0"/>
        <v>40766.208251473479</v>
      </c>
      <c r="P12" s="4">
        <f>Table3[[#This Row],[Required QTY (Pcs)]]/101.8</f>
        <v>40766.208251473479</v>
      </c>
      <c r="Q12" s="26"/>
      <c r="R12" s="4">
        <f>_xlfn.XLOOKUP(C12,Table6[Item Name],Table6[Qty],"Check QTY")</f>
        <v>4150000</v>
      </c>
      <c r="S12" s="124" t="str">
        <f>Table3[[#This Row],[Product]] &amp; "-" &amp; Table3[[#This Row],[Machine]]</f>
        <v>T2145-95-125g-TEEBA-YG-KTR4-2</v>
      </c>
      <c r="T12" s="4">
        <f>Table3[[#This Row],[Production Order (kg) ]]*0.58</f>
        <v>23644.400785854617</v>
      </c>
      <c r="U12" s="110"/>
      <c r="V12" s="110"/>
      <c r="W12" s="110"/>
      <c r="X12" s="110"/>
    </row>
    <row r="13" spans="1:25" x14ac:dyDescent="0.25">
      <c r="A13" s="123">
        <v>11</v>
      </c>
      <c r="B13" s="4" t="s">
        <v>126</v>
      </c>
      <c r="C13" s="4" t="s">
        <v>37</v>
      </c>
      <c r="D13" s="26" t="s">
        <v>118</v>
      </c>
      <c r="E13" s="26"/>
      <c r="F13" s="26"/>
      <c r="G13" s="26"/>
      <c r="H13" s="4">
        <f>Table3[[#This Row],[Required QTY (Kg)]]</f>
        <v>32455.795677799608</v>
      </c>
      <c r="I13" s="111"/>
      <c r="J13" s="58">
        <v>270</v>
      </c>
      <c r="K13" s="58">
        <v>24</v>
      </c>
      <c r="L13" s="5">
        <f>(Table3[[#This Row],[Production Order (kg) ]]/Table3[[#This Row],[Speed]])/Table3[[#This Row],[Working Hours]]</f>
        <v>5.0086104441048773</v>
      </c>
      <c r="M13" s="114">
        <f>Table3[[#This Row],[Start Date]]+Table3[[#This Row],[PPT]]</f>
        <v>5.0086104441048773</v>
      </c>
      <c r="N13" s="26"/>
      <c r="O13" s="4">
        <f t="shared" si="0"/>
        <v>32455.795677799608</v>
      </c>
      <c r="P13" s="4">
        <f>Table3[[#This Row],[Required QTY (Pcs)]]/101.8</f>
        <v>32455.795677799608</v>
      </c>
      <c r="Q13" s="26"/>
      <c r="R13" s="4">
        <f>_xlfn.XLOOKUP(C13,Table6[Item Name],Table6[Qty],"Check QTY")</f>
        <v>3304000</v>
      </c>
      <c r="S13" s="124" t="str">
        <f>Table3[[#This Row],[Product]] &amp; "-" &amp; Table3[[#This Row],[Machine]]</f>
        <v>T2145-95-125g-ALMARAI-YG-KTR4-1</v>
      </c>
      <c r="T13" s="4">
        <f>Table3[[#This Row],[Production Order (kg) ]]*0.58</f>
        <v>18824.361493123772</v>
      </c>
      <c r="U13" s="110"/>
      <c r="V13" s="110"/>
      <c r="W13" s="110"/>
      <c r="X13" s="110"/>
    </row>
    <row r="14" spans="1:25" x14ac:dyDescent="0.25">
      <c r="A14" s="123">
        <v>12</v>
      </c>
      <c r="B14" s="4" t="s">
        <v>127</v>
      </c>
      <c r="C14" s="4" t="s">
        <v>40</v>
      </c>
      <c r="D14" s="26" t="s">
        <v>122</v>
      </c>
      <c r="E14" s="26"/>
      <c r="F14" s="26"/>
      <c r="G14" s="26"/>
      <c r="H14" s="4">
        <f>Table3[[#This Row],[Required QTY (Kg)]]</f>
        <v>23994.35426958363</v>
      </c>
      <c r="I14" s="111"/>
      <c r="J14" s="58">
        <v>270</v>
      </c>
      <c r="K14" s="58">
        <v>24</v>
      </c>
      <c r="L14" s="5">
        <f>(Table3[[#This Row],[Production Order (kg) ]]/Table3[[#This Row],[Speed]])/Table3[[#This Row],[Working Hours]]</f>
        <v>3.702832449009819</v>
      </c>
      <c r="M14" s="114">
        <f>Table3[[#This Row],[Start Date]]+Table3[[#This Row],[PPT]]</f>
        <v>3.702832449009819</v>
      </c>
      <c r="N14" s="26"/>
      <c r="O14" s="4">
        <f t="shared" si="0"/>
        <v>23994.35426958363</v>
      </c>
      <c r="P14" s="4">
        <f>Table3[[#This Row],[Required QTY (Pcs)]]/141.7</f>
        <v>23994.35426958363</v>
      </c>
      <c r="Q14" s="26"/>
      <c r="R14" s="4">
        <f>_xlfn.XLOOKUP(C14,Table6[Item Name],Table6[Qty],"Check QTY")</f>
        <v>3400000</v>
      </c>
      <c r="S14" s="124" t="str">
        <f>Table3[[#This Row],[Product]] &amp; "-" &amp; Table3[[#This Row],[Machine]]</f>
        <v>T598-75-125g-HM-SH-KTR4-2</v>
      </c>
      <c r="T14" s="4">
        <f>Table3[[#This Row],[Production Order (kg) ]]*0.58</f>
        <v>13916.725476358504</v>
      </c>
      <c r="U14" s="110"/>
      <c r="V14" s="110"/>
      <c r="W14" s="110"/>
      <c r="X14" s="110"/>
      <c r="Y14" s="110"/>
    </row>
    <row r="15" spans="1:25" x14ac:dyDescent="0.25">
      <c r="A15" s="123">
        <v>13</v>
      </c>
      <c r="B15" s="4" t="s">
        <v>127</v>
      </c>
      <c r="C15" s="4" t="s">
        <v>41</v>
      </c>
      <c r="D15" s="26" t="s">
        <v>118</v>
      </c>
      <c r="E15" s="26"/>
      <c r="F15" s="26"/>
      <c r="G15" s="26"/>
      <c r="H15" s="4">
        <f>Table3[[#This Row],[Required QTY (Kg)]]</f>
        <v>12914.608327452364</v>
      </c>
      <c r="I15" s="111"/>
      <c r="J15" s="58">
        <v>270</v>
      </c>
      <c r="K15" s="58">
        <v>24</v>
      </c>
      <c r="L15" s="5">
        <f>(Table3[[#This Row],[Production Order (kg) ]]/Table3[[#This Row],[Speed]])/Table3[[#This Row],[Working Hours]]</f>
        <v>1.9929951122611673</v>
      </c>
      <c r="M15" s="114">
        <f>Table3[[#This Row],[Start Date]]+Table3[[#This Row],[PPT]]</f>
        <v>1.9929951122611673</v>
      </c>
      <c r="N15" s="26"/>
      <c r="O15" s="4">
        <f t="shared" si="0"/>
        <v>12914.608327452364</v>
      </c>
      <c r="P15" s="4">
        <f>Table3[[#This Row],[Required QTY (Pcs)]]/141.7</f>
        <v>12914.608327452364</v>
      </c>
      <c r="Q15" s="26"/>
      <c r="R15" s="4">
        <f>_xlfn.XLOOKUP(C15,Table6[Item Name],Table6[Qty],"Check QTY")</f>
        <v>1830000</v>
      </c>
      <c r="S15" s="124" t="str">
        <f>Table3[[#This Row],[Product]] &amp; "-" &amp; Table3[[#This Row],[Machine]]</f>
        <v>T598-75-125g-TEEBA-SH-KTR4-1</v>
      </c>
      <c r="T15" s="4">
        <f>Table3[[#This Row],[Production Order (kg) ]]*0.58</f>
        <v>7490.4728299223707</v>
      </c>
    </row>
    <row r="16" spans="1:25" x14ac:dyDescent="0.25">
      <c r="A16" s="123">
        <v>14</v>
      </c>
      <c r="B16" s="4" t="s">
        <v>159</v>
      </c>
      <c r="C16" s="4" t="s">
        <v>21</v>
      </c>
      <c r="D16" s="26" t="s">
        <v>122</v>
      </c>
      <c r="E16" s="26"/>
      <c r="F16" s="26"/>
      <c r="G16" s="26"/>
      <c r="H16" s="4">
        <f>Table3[[#This Row],[Required QTY (Kg)]]</f>
        <v>1297.9351032448378</v>
      </c>
      <c r="I16" s="111"/>
      <c r="J16" s="58">
        <v>370</v>
      </c>
      <c r="K16" s="58">
        <v>24</v>
      </c>
      <c r="L16" s="5">
        <f>(Table3[[#This Row],[Production Order (kg) ]]/Table3[[#This Row],[Speed]])/Table3[[#This Row],[Working Hours]]</f>
        <v>0.14616386297802228</v>
      </c>
      <c r="M16" s="114">
        <f>Table3[[#This Row],[Start Date]]+Table3[[#This Row],[PPT]]</f>
        <v>0.14616386297802228</v>
      </c>
      <c r="N16" s="26"/>
      <c r="O16" s="4">
        <f t="shared" si="0"/>
        <v>1297.9351032448378</v>
      </c>
      <c r="P16" s="4">
        <f>Table3[[#This Row],[Required QTY (Pcs)]]/33.9</f>
        <v>1297.9351032448378</v>
      </c>
      <c r="Q16" s="26"/>
      <c r="R16" s="4">
        <f>_xlfn.XLOOKUP(C16,Table6[Item Name],Table6[Qty],"Check QTY")</f>
        <v>44000</v>
      </c>
      <c r="S16" s="124" t="str">
        <f>Table3[[#This Row],[Product]] &amp; "-" &amp; Table3[[#This Row],[Machine]]</f>
        <v>T1159-116-500g-HM-LA-KTR4-2</v>
      </c>
      <c r="T16" s="4">
        <f>Table3[[#This Row],[Production Order (kg) ]]*0.63</f>
        <v>817.69911504424783</v>
      </c>
    </row>
    <row r="17" spans="1:32" x14ac:dyDescent="0.25">
      <c r="A17" s="123">
        <v>15</v>
      </c>
      <c r="B17" s="4" t="s">
        <v>128</v>
      </c>
      <c r="C17" s="4" t="s">
        <v>22</v>
      </c>
      <c r="D17" s="26" t="s">
        <v>118</v>
      </c>
      <c r="E17" s="26"/>
      <c r="F17" s="26"/>
      <c r="G17" s="26"/>
      <c r="H17" s="4">
        <f>Table3[[#This Row],[Required QTY (Kg)]]</f>
        <v>550.45871559633031</v>
      </c>
      <c r="I17" s="111"/>
      <c r="J17" s="58">
        <v>370</v>
      </c>
      <c r="K17" s="58">
        <v>24</v>
      </c>
      <c r="L17" s="5">
        <f>(Table3[[#This Row],[Production Order (kg) ]]/Table3[[#This Row],[Speed]])/Table3[[#This Row],[Working Hours]]</f>
        <v>6.1988594098685845E-2</v>
      </c>
      <c r="M17" s="114">
        <f>Table3[[#This Row],[Start Date]]+Table3[[#This Row],[PPT]]</f>
        <v>6.1988594098685845E-2</v>
      </c>
      <c r="N17" s="26"/>
      <c r="O17" s="4">
        <f t="shared" si="0"/>
        <v>550.45871559633031</v>
      </c>
      <c r="P17" s="4">
        <f>Table3[[#This Row],[Required QTY (Pcs)]]/54.5</f>
        <v>550.45871559633031</v>
      </c>
      <c r="Q17" s="26"/>
      <c r="R17" s="4">
        <f>_xlfn.XLOOKUP(C17,Table6[Item Name],Table6[Qty],"Check QTY")</f>
        <v>30000</v>
      </c>
      <c r="S17" s="124" t="str">
        <f>Table3[[#This Row],[Product]] &amp; "-" &amp; Table3[[#This Row],[Machine]]</f>
        <v>T1159-116-200g-HM-LA-KTR4-1</v>
      </c>
      <c r="T17" s="4">
        <f>Table3[[#This Row],[Production Order (kg) ]]*0.63</f>
        <v>346.78899082568807</v>
      </c>
    </row>
    <row r="18" spans="1:32" x14ac:dyDescent="0.25">
      <c r="A18" s="123">
        <v>16</v>
      </c>
      <c r="B18" s="4" t="s">
        <v>128</v>
      </c>
      <c r="C18" s="4" t="s">
        <v>23</v>
      </c>
      <c r="D18" s="26" t="s">
        <v>122</v>
      </c>
      <c r="E18" s="26"/>
      <c r="F18" s="26"/>
      <c r="G18" s="26"/>
      <c r="H18" s="4">
        <f>Table3[[#This Row],[Required QTY (Kg)]]</f>
        <v>366.97247706422019</v>
      </c>
      <c r="I18" s="111"/>
      <c r="J18" s="58">
        <v>370</v>
      </c>
      <c r="K18" s="58">
        <v>24</v>
      </c>
      <c r="L18" s="5">
        <f>(Table3[[#This Row],[Production Order (kg) ]]/Table3[[#This Row],[Speed]])/Table3[[#This Row],[Working Hours]]</f>
        <v>4.1325729399123899E-2</v>
      </c>
      <c r="M18" s="114">
        <f>Table3[[#This Row],[Start Date]]+Table3[[#This Row],[PPT]]</f>
        <v>4.1325729399123899E-2</v>
      </c>
      <c r="N18" s="26"/>
      <c r="O18" s="4">
        <f t="shared" si="0"/>
        <v>366.97247706422019</v>
      </c>
      <c r="P18" s="4">
        <f>Table3[[#This Row],[Required QTY (Pcs)]]/54.5</f>
        <v>366.97247706422019</v>
      </c>
      <c r="Q18" s="26"/>
      <c r="R18" s="4">
        <f>_xlfn.XLOOKUP(C18,Table6[Item Name],Table6[Qty],"Check QTY")</f>
        <v>20000</v>
      </c>
      <c r="S18" s="124" t="str">
        <f>Table3[[#This Row],[Product]] &amp; "-" &amp; Table3[[#This Row],[Machine]]</f>
        <v>T1159-116-200g-HM-LA-ZAATAR-KTR4-2</v>
      </c>
      <c r="T18" s="4">
        <f>Table3[[#This Row],[Production Order (kg) ]]*0.63</f>
        <v>231.19266055045873</v>
      </c>
    </row>
    <row r="19" spans="1:32" x14ac:dyDescent="0.25">
      <c r="A19" s="123">
        <v>17</v>
      </c>
      <c r="B19" s="4" t="s">
        <v>128</v>
      </c>
      <c r="C19" s="4" t="s">
        <v>24</v>
      </c>
      <c r="D19" s="26" t="s">
        <v>118</v>
      </c>
      <c r="E19" s="26"/>
      <c r="F19" s="26"/>
      <c r="G19" s="26"/>
      <c r="H19" s="4">
        <f>Table3[[#This Row],[Required QTY (Kg)]]</f>
        <v>366.97247706422019</v>
      </c>
      <c r="I19" s="111"/>
      <c r="J19" s="58">
        <v>270</v>
      </c>
      <c r="K19" s="58">
        <v>24</v>
      </c>
      <c r="L19" s="5">
        <f>(Table3[[#This Row],[Production Order (kg) ]]/Table3[[#This Row],[Speed]])/Table3[[#This Row],[Working Hours]]</f>
        <v>5.6631555102503117E-2</v>
      </c>
      <c r="M19" s="114">
        <f>Table3[[#This Row],[Start Date]]+Table3[[#This Row],[PPT]]</f>
        <v>5.6631555102503117E-2</v>
      </c>
      <c r="N19" s="26"/>
      <c r="O19" s="4">
        <f t="shared" si="0"/>
        <v>366.97247706422019</v>
      </c>
      <c r="P19" s="4">
        <f>Table3[[#This Row],[Required QTY (Pcs)]]/54.5</f>
        <v>366.97247706422019</v>
      </c>
      <c r="Q19" s="26"/>
      <c r="R19" s="4">
        <f>_xlfn.XLOOKUP(C19,Table6[Item Name],Table6[Qty],"Check QTY")</f>
        <v>20000</v>
      </c>
      <c r="S19" s="124" t="str">
        <f>Table3[[#This Row],[Product]] &amp; "-" &amp; Table3[[#This Row],[Machine]]</f>
        <v>T1159-116-200g-HM-LA-CHILI-KTR4-1</v>
      </c>
      <c r="T19" s="4">
        <f>Table3[[#This Row],[Production Order (kg) ]]*0.63</f>
        <v>231.19266055045873</v>
      </c>
    </row>
    <row r="20" spans="1:32" x14ac:dyDescent="0.25">
      <c r="A20" s="123">
        <v>18</v>
      </c>
      <c r="B20" s="4" t="s">
        <v>128</v>
      </c>
      <c r="C20" s="4" t="s">
        <v>25</v>
      </c>
      <c r="D20" s="26" t="s">
        <v>122</v>
      </c>
      <c r="E20" s="26"/>
      <c r="F20" s="26"/>
      <c r="G20" s="26"/>
      <c r="H20" s="4">
        <f>Table3[[#This Row],[Required QTY (Kg)]]</f>
        <v>0</v>
      </c>
      <c r="I20" s="111"/>
      <c r="J20" s="58">
        <v>270</v>
      </c>
      <c r="K20" s="58">
        <v>24</v>
      </c>
      <c r="L20" s="5">
        <f>(Table3[[#This Row],[Production Order (kg) ]]/Table3[[#This Row],[Speed]])/Table3[[#This Row],[Working Hours]]</f>
        <v>0</v>
      </c>
      <c r="M20" s="114">
        <f>Table3[[#This Row],[Start Date]]+Table3[[#This Row],[PPT]]</f>
        <v>0</v>
      </c>
      <c r="N20" s="26"/>
      <c r="O20" s="4">
        <f t="shared" si="0"/>
        <v>0</v>
      </c>
      <c r="P20" s="4">
        <f>Table3[[#This Row],[Required QTY (Pcs)]]/54.5</f>
        <v>0</v>
      </c>
      <c r="Q20" s="26"/>
      <c r="R20" s="4">
        <f>_xlfn.XLOOKUP(C20,Table6[Item Name],Table6[Qty],"Check QTY")</f>
        <v>0</v>
      </c>
      <c r="S20" s="124" t="str">
        <f>Table3[[#This Row],[Product]] &amp; "-" &amp; Table3[[#This Row],[Machine]]</f>
        <v>T1159-116-200g-HM-LA-DI-KTR4-2</v>
      </c>
      <c r="T20" s="4">
        <f>Table3[[#This Row],[Production Order (kg) ]]*0.63</f>
        <v>0</v>
      </c>
    </row>
    <row r="21" spans="1:32" x14ac:dyDescent="0.25">
      <c r="A21" s="123">
        <v>19</v>
      </c>
      <c r="B21" s="4" t="s">
        <v>128</v>
      </c>
      <c r="C21" s="4" t="s">
        <v>26</v>
      </c>
      <c r="D21" s="26" t="s">
        <v>118</v>
      </c>
      <c r="E21" s="26"/>
      <c r="F21" s="26"/>
      <c r="G21" s="26"/>
      <c r="H21" s="4">
        <f>Table3[[#This Row],[Required QTY (Kg)]]</f>
        <v>1064.2201834862385</v>
      </c>
      <c r="I21" s="111"/>
      <c r="J21" s="58">
        <v>370</v>
      </c>
      <c r="K21" s="58">
        <v>24</v>
      </c>
      <c r="L21" s="5">
        <f>(Table3[[#This Row],[Production Order (kg) ]]/Table3[[#This Row],[Speed]])/Table3[[#This Row],[Working Hours]]</f>
        <v>0.11984461525745931</v>
      </c>
      <c r="M21" s="114">
        <f>Table3[[#This Row],[Start Date]]+Table3[[#This Row],[PPT]]</f>
        <v>0.11984461525745931</v>
      </c>
      <c r="N21" s="26"/>
      <c r="O21" s="4">
        <f t="shared" si="0"/>
        <v>1064.2201834862385</v>
      </c>
      <c r="P21" s="4">
        <f>Table3[[#This Row],[Required QTY (Pcs)]]/54.5</f>
        <v>1064.2201834862385</v>
      </c>
      <c r="Q21" s="26"/>
      <c r="R21" s="4">
        <f>_xlfn.XLOOKUP(C21,Table6[Item Name],Table6[Qty],"Check QTY")</f>
        <v>58000</v>
      </c>
      <c r="S21" s="124" t="str">
        <f>Table3[[#This Row],[Product]] &amp; "-" &amp; Table3[[#This Row],[Machine]]</f>
        <v>T2145-116-150g-HM-LA-KTR4-1</v>
      </c>
      <c r="T21" s="4">
        <f>Table3[[#This Row],[Production Order (kg) ]]*0.63</f>
        <v>670.45871559633031</v>
      </c>
    </row>
    <row r="22" spans="1:32" x14ac:dyDescent="0.25">
      <c r="A22" s="123">
        <v>20</v>
      </c>
      <c r="B22" s="4" t="s">
        <v>129</v>
      </c>
      <c r="C22" s="4" t="s">
        <v>38</v>
      </c>
      <c r="D22" s="26" t="s">
        <v>122</v>
      </c>
      <c r="E22" s="26"/>
      <c r="F22" s="26"/>
      <c r="G22" s="26"/>
      <c r="H22" s="4">
        <f>Table3[[#This Row],[Required QTY (Kg)]]</f>
        <v>40341.463414634149</v>
      </c>
      <c r="I22" s="111"/>
      <c r="J22" s="58">
        <v>270</v>
      </c>
      <c r="K22" s="58">
        <v>24</v>
      </c>
      <c r="L22" s="5">
        <f>(Table3[[#This Row],[Production Order (kg) ]]/Table3[[#This Row],[Speed]])/Table3[[#This Row],[Working Hours]]</f>
        <v>6.2255344775669981</v>
      </c>
      <c r="M22" s="114">
        <f>Table3[[#This Row],[Start Date]]+Table3[[#This Row],[PPT]]</f>
        <v>6.2255344775669981</v>
      </c>
      <c r="N22" s="26"/>
      <c r="O22" s="4">
        <f t="shared" si="0"/>
        <v>40341.463414634149</v>
      </c>
      <c r="P22" s="4">
        <f>Table3[[#This Row],[Required QTY (Pcs)]]/61.5</f>
        <v>40341.463414634149</v>
      </c>
      <c r="Q22" s="26"/>
      <c r="R22" s="4">
        <f>_xlfn.XLOOKUP(C22,Table6[Item Name],Table6[Qty],"Check QTY")</f>
        <v>2481000</v>
      </c>
      <c r="S22" s="124" t="str">
        <f>Table3[[#This Row],[Product]] &amp; "-" &amp; Table3[[#This Row],[Machine]]</f>
        <v>LID-130/127-HM-YG-KTR4-2</v>
      </c>
      <c r="T22" s="4">
        <f>Table3[[#This Row],[Production Order (kg) ]]*0.65</f>
        <v>26221.951219512197</v>
      </c>
    </row>
    <row r="23" spans="1:32" x14ac:dyDescent="0.25">
      <c r="A23" s="123">
        <v>21</v>
      </c>
      <c r="B23" s="4" t="s">
        <v>130</v>
      </c>
      <c r="C23" s="4" t="s">
        <v>39</v>
      </c>
      <c r="D23" s="26" t="s">
        <v>118</v>
      </c>
      <c r="E23" s="26"/>
      <c r="F23" s="26"/>
      <c r="G23" s="26"/>
      <c r="H23" s="4">
        <f>Table3[[#This Row],[Required QTY (Kg)]]</f>
        <v>5407.2620215897932</v>
      </c>
      <c r="I23" s="111"/>
      <c r="J23" s="58">
        <v>270</v>
      </c>
      <c r="K23" s="58">
        <v>24</v>
      </c>
      <c r="L23" s="5">
        <f>(Table3[[#This Row],[Production Order (kg) ]]/Table3[[#This Row],[Speed]])/Table3[[#This Row],[Working Hours]]</f>
        <v>0.83445401567743716</v>
      </c>
      <c r="M23" s="114">
        <f>Table3[[#This Row],[Start Date]]+Table3[[#This Row],[PPT]]</f>
        <v>0.83445401567743716</v>
      </c>
      <c r="N23" s="26"/>
      <c r="O23" s="4">
        <f t="shared" si="0"/>
        <v>5407.2620215897932</v>
      </c>
      <c r="P23" s="4">
        <f>Table3[[#This Row],[Required QTY (Pcs)]]/101.9</f>
        <v>5407.2620215897932</v>
      </c>
      <c r="Q23" s="26"/>
      <c r="R23" s="4">
        <f>_xlfn.XLOOKUP(C23,Table6[Item Name],Table6[Qty],"Check QTY")</f>
        <v>551000</v>
      </c>
      <c r="S23" s="124" t="str">
        <f>Table3[[#This Row],[Product]] &amp; "-" &amp; Table3[[#This Row],[Machine]]</f>
        <v>LID-116/112-HM-LA-KTR4-1</v>
      </c>
      <c r="T23" s="4">
        <f>Table3[[#This Row],[Production Order (kg) ]]*0.65</f>
        <v>3514.7203140333659</v>
      </c>
    </row>
    <row r="24" spans="1:32" x14ac:dyDescent="0.25">
      <c r="A24" s="123">
        <v>22</v>
      </c>
      <c r="B24" s="4" t="s">
        <v>131</v>
      </c>
      <c r="C24" s="4" t="s">
        <v>12</v>
      </c>
      <c r="D24" s="26" t="s">
        <v>122</v>
      </c>
      <c r="E24" s="26"/>
      <c r="F24" s="26"/>
      <c r="G24" s="26"/>
      <c r="H24" s="4">
        <f>Table3[[#This Row],[Required QTY (Kg)]]</f>
        <v>0</v>
      </c>
      <c r="I24" s="111"/>
      <c r="J24" s="58">
        <v>270</v>
      </c>
      <c r="K24" s="58">
        <v>24</v>
      </c>
      <c r="L24" s="5">
        <f>(Table3[[#This Row],[Production Order (kg) ]]/Table3[[#This Row],[Speed]])/Table3[[#This Row],[Working Hours]]</f>
        <v>0</v>
      </c>
      <c r="M24" s="114">
        <f>Table3[[#This Row],[Start Date]]+Table3[[#This Row],[PPT]]</f>
        <v>0</v>
      </c>
      <c r="N24" s="26"/>
      <c r="O24" s="4">
        <f t="shared" si="0"/>
        <v>0</v>
      </c>
      <c r="P24" s="4">
        <f>Table3[[#This Row],[Required QTY (Pcs)]]/85</f>
        <v>0</v>
      </c>
      <c r="Q24" s="26"/>
      <c r="R24" s="4">
        <f>_xlfn.XLOOKUP(C24,Table6[Item Name],Table6[Qty],"Check QTY")</f>
        <v>0</v>
      </c>
      <c r="S24" s="124" t="str">
        <f>Table3[[#This Row],[Product]] &amp; "-" &amp; Table3[[#This Row],[Machine]]</f>
        <v xml:space="preserve"> 75/250 Water cup 6g-KTR4-2</v>
      </c>
      <c r="T24" s="4">
        <f>Table3[[#This Row],[Production Order (kg) ]]*0.58</f>
        <v>0</v>
      </c>
    </row>
    <row r="25" spans="1:32" x14ac:dyDescent="0.25">
      <c r="A25" s="123">
        <v>23</v>
      </c>
      <c r="B25" s="4" t="s">
        <v>132</v>
      </c>
      <c r="C25" s="4" t="s">
        <v>29</v>
      </c>
      <c r="D25" s="26" t="s">
        <v>118</v>
      </c>
      <c r="E25" s="26"/>
      <c r="F25" s="26"/>
      <c r="G25" s="26"/>
      <c r="H25" s="4">
        <f>Table3[[#This Row],[Required QTY (Kg)]]</f>
        <v>504.20168067226888</v>
      </c>
      <c r="I25" s="111"/>
      <c r="J25" s="58">
        <v>370</v>
      </c>
      <c r="K25" s="58">
        <v>24</v>
      </c>
      <c r="L25" s="5">
        <f>(Table3[[#This Row],[Production Order (kg) ]]/Table3[[#This Row],[Speed]])/Table3[[#This Row],[Working Hours]]</f>
        <v>5.6779468544174427E-2</v>
      </c>
      <c r="M25" s="114">
        <f>Table3[[#This Row],[Start Date]]+Table3[[#This Row],[PPT]]</f>
        <v>5.6779468544174427E-2</v>
      </c>
      <c r="N25" s="26"/>
      <c r="O25" s="4">
        <f t="shared" si="0"/>
        <v>504.20168067226888</v>
      </c>
      <c r="P25" s="4">
        <f>Table3[[#This Row],[Required QTY (Pcs)]]/23.8</f>
        <v>504.20168067226888</v>
      </c>
      <c r="Q25" s="26"/>
      <c r="R25" s="4">
        <f>_xlfn.XLOOKUP(C25,Table6[Item Name],Table6[Qty],"Check QTY")</f>
        <v>12000</v>
      </c>
      <c r="S25" s="124" t="str">
        <f>Table3[[#This Row],[Product]] &amp; "-" &amp; Table3[[#This Row],[Machine]]</f>
        <v>100ml M.C --CLEAR-KTR4-1</v>
      </c>
      <c r="T25" s="4">
        <f>Table3[[#This Row],[Production Order (kg) ]]*0.4</f>
        <v>201.68067226890756</v>
      </c>
    </row>
    <row r="26" spans="1:32" s="96" customFormat="1" x14ac:dyDescent="0.25">
      <c r="Q26" s="84"/>
      <c r="R26" s="84"/>
      <c r="S26" s="84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</row>
    <row r="27" spans="1:32" s="27" customFormat="1" ht="16.149999999999999" customHeight="1" thickBot="1" x14ac:dyDescent="0.3">
      <c r="A27" s="119" t="s">
        <v>118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84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</row>
    <row r="28" spans="1:32" s="28" customFormat="1" ht="16.149999999999999" customHeight="1" thickBot="1" x14ac:dyDescent="0.3">
      <c r="A28" s="59" t="s">
        <v>101</v>
      </c>
      <c r="B28" s="60" t="s">
        <v>133</v>
      </c>
      <c r="C28" s="60" t="s">
        <v>8</v>
      </c>
      <c r="D28" s="60" t="s">
        <v>105</v>
      </c>
      <c r="E28" s="60" t="s">
        <v>106</v>
      </c>
      <c r="F28" s="60" t="s">
        <v>107</v>
      </c>
      <c r="G28" s="60" t="s">
        <v>108</v>
      </c>
      <c r="H28" s="60" t="s">
        <v>146</v>
      </c>
      <c r="I28" s="60" t="s">
        <v>147</v>
      </c>
      <c r="J28" s="61" t="s">
        <v>109</v>
      </c>
      <c r="K28" s="62" t="s">
        <v>110</v>
      </c>
      <c r="L28" s="60" t="s">
        <v>111</v>
      </c>
      <c r="M28" s="62" t="s">
        <v>112</v>
      </c>
      <c r="N28" s="61" t="s">
        <v>115</v>
      </c>
      <c r="O28" s="61" t="s">
        <v>134</v>
      </c>
      <c r="P28" s="61" t="s">
        <v>135</v>
      </c>
      <c r="Q28" s="60" t="s">
        <v>136</v>
      </c>
      <c r="R28" s="81" t="s">
        <v>120</v>
      </c>
      <c r="S28" s="84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</row>
    <row r="29" spans="1:32" s="27" customFormat="1" ht="16.149999999999999" customHeight="1" x14ac:dyDescent="0.25">
      <c r="A29" s="82">
        <v>1</v>
      </c>
      <c r="B29" s="64" t="s">
        <v>17</v>
      </c>
      <c r="C29" s="65"/>
      <c r="D29" s="65"/>
      <c r="E29" s="65"/>
      <c r="F29" s="64">
        <f>Table5[[#This Row],[Required QTY (Pcs)]]</f>
        <v>235000</v>
      </c>
      <c r="G29" s="135">
        <v>46053.791666666664</v>
      </c>
      <c r="H29" s="85">
        <v>10500</v>
      </c>
      <c r="I29" s="85">
        <v>22</v>
      </c>
      <c r="J29" s="66">
        <f>(Table5[[#This Row],[Production Order (kg) ]]/Table5[[#This Row],[Speed]])/Table5[[#This Row],[Working Hours]]</f>
        <v>1.0173160173160172</v>
      </c>
      <c r="K29" s="128">
        <f>Table5[[#This Row],[Start Date]]+Table5[[#This Row],[PPT]]</f>
        <v>46054.808982683979</v>
      </c>
      <c r="L29" s="65"/>
      <c r="M29" s="64">
        <f>IF(F29-L29&lt;0,"Done",F29-L29)</f>
        <v>235000</v>
      </c>
      <c r="N29" s="64">
        <f>_xlfn.XLOOKUP(B29 &amp; "-" &amp; $A$27, Table3[HelperKey], Table3[Required QTY (Pcs)], "On KTR4-2")</f>
        <v>235000</v>
      </c>
      <c r="O29" s="65"/>
      <c r="P29" s="64">
        <f>_xlfn.XLOOKUP(B29 &amp; "-" &amp; $A$27, Table3[HelperKey], Table3[Total Rolls], "On KTR-2")</f>
        <v>0</v>
      </c>
      <c r="Q29" s="65"/>
      <c r="R29" s="67" t="str">
        <f>IFERROR((Table5[[#This Row],[Cups Regrind]]/(Table5[[#This Row],[Current Production ]]+Table5[[#This Row],[Cups Regrind]])),"No Data Entry")</f>
        <v>No Data Entry</v>
      </c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</row>
    <row r="30" spans="1:32" s="27" customFormat="1" x14ac:dyDescent="0.25">
      <c r="A30" s="1">
        <v>2</v>
      </c>
      <c r="B30" s="4" t="s">
        <v>18</v>
      </c>
      <c r="C30" s="26"/>
      <c r="D30" s="26"/>
      <c r="E30" s="26"/>
      <c r="F30" s="4" t="str">
        <f>Table5[[#This Row],[Required QTY (Pcs)]]</f>
        <v>On KTR4-2</v>
      </c>
      <c r="G30" s="125"/>
      <c r="H30" s="127">
        <v>10500</v>
      </c>
      <c r="I30" s="127">
        <v>22</v>
      </c>
      <c r="J30" s="5" t="e">
        <f>(Table5[[#This Row],[Production Order (kg) ]]/Table5[[#This Row],[Speed]])/Table5[[#This Row],[Working Hours]]</f>
        <v>#VALUE!</v>
      </c>
      <c r="K30" s="126"/>
      <c r="L30" s="26"/>
      <c r="M30" s="4" t="e">
        <f>IF(F30-L30&lt;0,"Done",F30-L30)</f>
        <v>#VALUE!</v>
      </c>
      <c r="N30" s="4" t="str">
        <f>_xlfn.XLOOKUP(B30 &amp; "-" &amp; $A$27, Table3[HelperKey], Table3[Required QTY (Pcs)], "On KTR4-2")</f>
        <v>On KTR4-2</v>
      </c>
      <c r="O30" s="26"/>
      <c r="P30" s="4" t="str">
        <f>_xlfn.XLOOKUP(B30 &amp; "-" &amp; $A$27, Table3[HelperKey], Table3[Total Rolls], "On KTR-2")</f>
        <v>On KTR-2</v>
      </c>
      <c r="Q30" s="26"/>
      <c r="R30" s="29" t="str">
        <f>IFERROR((Table5[[#This Row],[Cups Regrind]]/(Table5[[#This Row],[Current Production ]]+Table5[[#This Row],[Cups Regrind]])),"No Data Entry")</f>
        <v>No Data Entry</v>
      </c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</row>
    <row r="31" spans="1:32" s="27" customFormat="1" x14ac:dyDescent="0.25">
      <c r="A31" s="1">
        <v>3</v>
      </c>
      <c r="B31" s="4" t="s">
        <v>31</v>
      </c>
      <c r="C31" s="26"/>
      <c r="D31" s="26"/>
      <c r="E31" s="26"/>
      <c r="F31" s="4">
        <f>Table5[[#This Row],[Required QTY (Pcs)]]</f>
        <v>0</v>
      </c>
      <c r="G31" s="111"/>
      <c r="H31" s="58">
        <v>15000</v>
      </c>
      <c r="I31" s="58">
        <v>22</v>
      </c>
      <c r="J31" s="5">
        <f>(Table5[[#This Row],[Production Order (kg) ]]/Table5[[#This Row],[Speed]])/Table5[[#This Row],[Working Hours]]</f>
        <v>0</v>
      </c>
      <c r="K31" s="114"/>
      <c r="L31" s="26"/>
      <c r="M31" s="4">
        <f>IF(F31-L31&lt;0,"Done",F31-L31)</f>
        <v>0</v>
      </c>
      <c r="N31" s="4">
        <f>_xlfn.XLOOKUP(B31 &amp; "-" &amp; $A$27, Table3[HelperKey], Table3[Required QTY (Pcs)], "On KTR4-2")</f>
        <v>0</v>
      </c>
      <c r="O31" s="26"/>
      <c r="P31" s="4">
        <f>_xlfn.XLOOKUP(B31 &amp; "-" &amp; $A$27, Table3[HelperKey], Table3[Total Rolls], "On KTR-2")</f>
        <v>0</v>
      </c>
      <c r="Q31" s="26"/>
      <c r="R31" s="29" t="str">
        <f>IFERROR((Table5[[#This Row],[Cups Regrind]]/(Table5[[#This Row],[Current Production ]]+Table5[[#This Row],[Cups Regrind]])),"No Data Entry")</f>
        <v>No Data Entry</v>
      </c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</row>
    <row r="32" spans="1:32" s="27" customFormat="1" x14ac:dyDescent="0.25">
      <c r="A32" s="1">
        <v>4</v>
      </c>
      <c r="B32" s="4" t="s">
        <v>32</v>
      </c>
      <c r="C32" s="26"/>
      <c r="D32" s="26"/>
      <c r="E32" s="26"/>
      <c r="F32" s="4" t="str">
        <f>Table5[[#This Row],[Required QTY (Pcs)]]</f>
        <v>On KTR4-2</v>
      </c>
      <c r="G32" s="125"/>
      <c r="H32" s="127">
        <v>17000</v>
      </c>
      <c r="I32" s="127">
        <v>22</v>
      </c>
      <c r="J32" s="5" t="e">
        <f>(Table5[[#This Row],[Production Order (kg) ]]/Table5[[#This Row],[Speed]])/Table5[[#This Row],[Working Hours]]</f>
        <v>#VALUE!</v>
      </c>
      <c r="K32" s="126"/>
      <c r="L32" s="26"/>
      <c r="M32" s="4" t="e">
        <f>IF(F32-L32&lt;0,"Done",F32-L32)</f>
        <v>#VALUE!</v>
      </c>
      <c r="N32" s="4" t="str">
        <f>_xlfn.XLOOKUP(B32 &amp; "-" &amp; $A$27, Table3[HelperKey], Table3[Required QTY (Pcs)], "On KTR4-2")</f>
        <v>On KTR4-2</v>
      </c>
      <c r="O32" s="26"/>
      <c r="P32" s="4" t="str">
        <f>_xlfn.XLOOKUP(B32 &amp; "-" &amp; $A$27, Table3[HelperKey], Table3[Total Rolls], "On KTR-2")</f>
        <v>On KTR-2</v>
      </c>
      <c r="Q32" s="26"/>
      <c r="R32" s="29" t="str">
        <f>IFERROR((Table5[[#This Row],[Cups Regrind]]/(Table5[[#This Row],[Current Production ]]+Table5[[#This Row],[Cups Regrind]])),"No Data Entry")</f>
        <v>No Data Entry</v>
      </c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</row>
    <row r="33" spans="1:32" s="27" customFormat="1" x14ac:dyDescent="0.25">
      <c r="A33" s="1">
        <v>5</v>
      </c>
      <c r="B33" s="4" t="s">
        <v>33</v>
      </c>
      <c r="C33" s="26"/>
      <c r="D33" s="26"/>
      <c r="E33" s="26"/>
      <c r="F33" s="4">
        <f>Table5[[#This Row],[Required QTY (Pcs)]]</f>
        <v>3866000</v>
      </c>
      <c r="G33" s="111"/>
      <c r="H33" s="58">
        <v>17000</v>
      </c>
      <c r="I33" s="58">
        <v>22</v>
      </c>
      <c r="J33" s="5">
        <f>(Table5[[#This Row],[Production Order (kg) ]]/Table5[[#This Row],[Speed]])/Table5[[#This Row],[Working Hours]]</f>
        <v>10.336898395721924</v>
      </c>
      <c r="K33" s="114"/>
      <c r="L33" s="26"/>
      <c r="M33" s="4">
        <f>IF(F33-L33&lt;0,"Done",F33-L33)</f>
        <v>3866000</v>
      </c>
      <c r="N33" s="4">
        <f>_xlfn.XLOOKUP(B33 &amp; "-" &amp; $A$27, Table3[HelperKey], Table3[Required QTY (Pcs)], "On KTR4-2")</f>
        <v>3866000</v>
      </c>
      <c r="O33" s="26"/>
      <c r="P33" s="4">
        <f>_xlfn.XLOOKUP(B33 &amp; "-" &amp; $A$27, Table3[HelperKey], Table3[Total Rolls], "On KTR-2")</f>
        <v>0</v>
      </c>
      <c r="Q33" s="26"/>
      <c r="R33" s="29" t="str">
        <f>IFERROR((Table5[[#This Row],[Cups Regrind]]/(Table5[[#This Row],[Current Production ]]+Table5[[#This Row],[Cups Regrind]])),"No Data Entry")</f>
        <v>No Data Entry</v>
      </c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</row>
    <row r="34" spans="1:32" s="27" customFormat="1" x14ac:dyDescent="0.25">
      <c r="A34" s="1">
        <v>6</v>
      </c>
      <c r="B34" s="4" t="s">
        <v>34</v>
      </c>
      <c r="C34" s="26"/>
      <c r="D34" s="26"/>
      <c r="E34" s="26"/>
      <c r="F34" s="4" t="str">
        <f>Table5[[#This Row],[Required QTY (Pcs)]]</f>
        <v>On KTR4-2</v>
      </c>
      <c r="G34" s="125"/>
      <c r="H34" s="127">
        <v>17000</v>
      </c>
      <c r="I34" s="127">
        <v>22</v>
      </c>
      <c r="J34" s="5" t="e">
        <f>(Table5[[#This Row],[Production Order (kg) ]]/Table5[[#This Row],[Speed]])/Table5[[#This Row],[Working Hours]]</f>
        <v>#VALUE!</v>
      </c>
      <c r="K34" s="126"/>
      <c r="L34" s="26"/>
      <c r="M34" s="4" t="e">
        <f>IF(F34-L34&lt;0,"Done",F34-L34)</f>
        <v>#VALUE!</v>
      </c>
      <c r="N34" s="4" t="str">
        <f>_xlfn.XLOOKUP(B34 &amp; "-" &amp; $A$27, Table3[HelperKey], Table3[Required QTY (Pcs)], "On KTR4-2")</f>
        <v>On KTR4-2</v>
      </c>
      <c r="O34" s="26"/>
      <c r="P34" s="4" t="str">
        <f>_xlfn.XLOOKUP(B34 &amp; "-" &amp; $A$27, Table3[HelperKey], Table3[Total Rolls], "On KTR-2")</f>
        <v>On KTR-2</v>
      </c>
      <c r="Q34" s="26"/>
      <c r="R34" s="29" t="str">
        <f>IFERROR((Table5[[#This Row],[Cups Regrind]]/(Table5[[#This Row],[Current Production ]]+Table5[[#This Row],[Cups Regrind]])),"No Data Entry")</f>
        <v>No Data Entry</v>
      </c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</row>
    <row r="35" spans="1:32" s="27" customFormat="1" x14ac:dyDescent="0.25">
      <c r="A35" s="1">
        <v>7</v>
      </c>
      <c r="B35" s="4" t="s">
        <v>20</v>
      </c>
      <c r="C35" s="26"/>
      <c r="D35" s="26"/>
      <c r="E35" s="26"/>
      <c r="F35" s="4">
        <f>Table5[[#This Row],[Required QTY (Pcs)]]</f>
        <v>351000</v>
      </c>
      <c r="G35" s="111"/>
      <c r="H35" s="58">
        <v>17000</v>
      </c>
      <c r="I35" s="58">
        <v>22</v>
      </c>
      <c r="J35" s="5">
        <f>(Table5[[#This Row],[Production Order (kg) ]]/Table5[[#This Row],[Speed]])/Table5[[#This Row],[Working Hours]]</f>
        <v>0.93850267379679153</v>
      </c>
      <c r="K35" s="114"/>
      <c r="L35" s="26"/>
      <c r="M35" s="4">
        <f>IF(F35-L35&lt;0,"Done",F35-L35)</f>
        <v>351000</v>
      </c>
      <c r="N35" s="4">
        <f>_xlfn.XLOOKUP(B35 &amp; "-" &amp; $A$27, Table3[HelperKey], Table3[Required QTY (Pcs)], "On KTR4-2")</f>
        <v>351000</v>
      </c>
      <c r="O35" s="26"/>
      <c r="P35" s="4">
        <f>_xlfn.XLOOKUP(B35 &amp; "-" &amp; $A$27, Table3[HelperKey], Table3[Total Rolls], "On KTR-2")</f>
        <v>0</v>
      </c>
      <c r="Q35" s="26"/>
      <c r="R35" s="29" t="str">
        <f>IFERROR((Table5[[#This Row],[Cups Regrind]]/(Table5[[#This Row],[Current Production ]]+Table5[[#This Row],[Cups Regrind]])),"No Data Entry")</f>
        <v>No Data Entry</v>
      </c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</row>
    <row r="36" spans="1:32" s="27" customFormat="1" x14ac:dyDescent="0.25">
      <c r="A36" s="1">
        <v>8</v>
      </c>
      <c r="B36" s="4" t="s">
        <v>11</v>
      </c>
      <c r="C36" s="26"/>
      <c r="D36" s="26"/>
      <c r="E36" s="26"/>
      <c r="F36" s="4" t="str">
        <f>Table5[[#This Row],[Required QTY (Pcs)]]</f>
        <v>On KTR4-2</v>
      </c>
      <c r="G36" s="125"/>
      <c r="H36" s="127">
        <v>17000</v>
      </c>
      <c r="I36" s="127">
        <v>22</v>
      </c>
      <c r="J36" s="5" t="e">
        <f>(Table5[[#This Row],[Production Order (kg) ]]/Table5[[#This Row],[Speed]])/Table5[[#This Row],[Working Hours]]</f>
        <v>#VALUE!</v>
      </c>
      <c r="K36" s="126"/>
      <c r="L36" s="26"/>
      <c r="M36" s="4" t="e">
        <f>IF(F36-L36&lt;0,"Done",F36-L36)</f>
        <v>#VALUE!</v>
      </c>
      <c r="N36" s="4" t="str">
        <f>_xlfn.XLOOKUP(B36 &amp; "-" &amp; $A$27, Table3[HelperKey], Table3[Required QTY (Pcs)], "On KTR4-2")</f>
        <v>On KTR4-2</v>
      </c>
      <c r="O36" s="26"/>
      <c r="P36" s="4" t="str">
        <f>_xlfn.XLOOKUP(B36 &amp; "-" &amp; $A$27, Table3[HelperKey], Table3[Total Rolls], "On KTR-2")</f>
        <v>On KTR-2</v>
      </c>
      <c r="Q36" s="26"/>
      <c r="R36" s="29" t="str">
        <f>IFERROR((Table5[[#This Row],[Cups Regrind]]/(Table5[[#This Row],[Current Production ]]+Table5[[#This Row],[Cups Regrind]])),"No Data Entry")</f>
        <v>No Data Entry</v>
      </c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</row>
    <row r="37" spans="1:32" s="27" customFormat="1" x14ac:dyDescent="0.25">
      <c r="A37" s="1">
        <v>9</v>
      </c>
      <c r="B37" s="4" t="s">
        <v>35</v>
      </c>
      <c r="C37" s="26"/>
      <c r="D37" s="26"/>
      <c r="E37" s="26"/>
      <c r="F37" s="4">
        <f>Table5[[#This Row],[Required QTY (Pcs)]]</f>
        <v>5318000</v>
      </c>
      <c r="G37" s="111"/>
      <c r="H37" s="58">
        <v>17000</v>
      </c>
      <c r="I37" s="58">
        <v>22</v>
      </c>
      <c r="J37" s="5">
        <f>(Table5[[#This Row],[Production Order (kg) ]]/Table5[[#This Row],[Speed]])/Table5[[#This Row],[Working Hours]]</f>
        <v>14.219251336898395</v>
      </c>
      <c r="K37" s="114"/>
      <c r="L37" s="26"/>
      <c r="M37" s="4">
        <f>IF(F37-L37&lt;0,"Done",F37-L37)</f>
        <v>5318000</v>
      </c>
      <c r="N37" s="4">
        <f>_xlfn.XLOOKUP(B37 &amp; "-" &amp; $A$27, Table3[HelperKey], Table3[Required QTY (Pcs)], "On KTR4-2")</f>
        <v>5318000</v>
      </c>
      <c r="O37" s="26"/>
      <c r="P37" s="4">
        <f>_xlfn.XLOOKUP(B37 &amp; "-" &amp; $A$27, Table3[HelperKey], Table3[Total Rolls], "On KTR-2")</f>
        <v>0</v>
      </c>
      <c r="Q37" s="26"/>
      <c r="R37" s="29" t="str">
        <f>IFERROR((Table5[[#This Row],[Cups Regrind]]/(Table5[[#This Row],[Current Production ]]+Table5[[#This Row],[Cups Regrind]])),"No Data Entry")</f>
        <v>No Data Entry</v>
      </c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</row>
    <row r="38" spans="1:32" s="27" customFormat="1" x14ac:dyDescent="0.25">
      <c r="A38" s="1">
        <v>10</v>
      </c>
      <c r="B38" s="4" t="s">
        <v>36</v>
      </c>
      <c r="C38" s="26"/>
      <c r="D38" s="26"/>
      <c r="E38" s="26"/>
      <c r="F38" s="4" t="str">
        <f>Table5[[#This Row],[Required QTY (Pcs)]]</f>
        <v>On KTR4-2</v>
      </c>
      <c r="G38" s="125"/>
      <c r="H38" s="127">
        <v>17000</v>
      </c>
      <c r="I38" s="127">
        <v>22</v>
      </c>
      <c r="J38" s="5" t="e">
        <f>(Table5[[#This Row],[Production Order (kg) ]]/Table5[[#This Row],[Speed]])/Table5[[#This Row],[Working Hours]]</f>
        <v>#VALUE!</v>
      </c>
      <c r="K38" s="126"/>
      <c r="L38" s="26"/>
      <c r="M38" s="4" t="e">
        <f>IF(F38-L38&lt;0,"Done",F38-L38)</f>
        <v>#VALUE!</v>
      </c>
      <c r="N38" s="4" t="str">
        <f>_xlfn.XLOOKUP(B38 &amp; "-" &amp; $A$27, Table3[HelperKey], Table3[Required QTY (Pcs)], "On KTR4-2")</f>
        <v>On KTR4-2</v>
      </c>
      <c r="O38" s="26"/>
      <c r="P38" s="4" t="str">
        <f>_xlfn.XLOOKUP(B38 &amp; "-" &amp; $A$27, Table3[HelperKey], Table3[Total Rolls], "On KTR-2")</f>
        <v>On KTR-2</v>
      </c>
      <c r="Q38" s="26"/>
      <c r="R38" s="29" t="str">
        <f>IFERROR((Table5[[#This Row],[Cups Regrind]]/(Table5[[#This Row],[Current Production ]]+Table5[[#This Row],[Cups Regrind]])),"No Data Entry")</f>
        <v>No Data Entry</v>
      </c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</row>
    <row r="39" spans="1:32" s="27" customFormat="1" x14ac:dyDescent="0.25">
      <c r="A39" s="1">
        <v>11</v>
      </c>
      <c r="B39" s="4" t="s">
        <v>37</v>
      </c>
      <c r="C39" s="26"/>
      <c r="D39" s="26"/>
      <c r="E39" s="26"/>
      <c r="F39" s="4">
        <f>Table5[[#This Row],[Required QTY (Pcs)]]</f>
        <v>3304000</v>
      </c>
      <c r="G39" s="111"/>
      <c r="H39" s="58">
        <v>17000</v>
      </c>
      <c r="I39" s="58">
        <v>22</v>
      </c>
      <c r="J39" s="5">
        <f>(Table5[[#This Row],[Production Order (kg) ]]/Table5[[#This Row],[Speed]])/Table5[[#This Row],[Working Hours]]</f>
        <v>8.8342245989304811</v>
      </c>
      <c r="K39" s="114"/>
      <c r="L39" s="26"/>
      <c r="M39" s="4">
        <f>IF(F39-L39&lt;0,"Done",F39-L39)</f>
        <v>3304000</v>
      </c>
      <c r="N39" s="4">
        <f>_xlfn.XLOOKUP(B39 &amp; "-" &amp; $A$27, Table3[HelperKey], Table3[Required QTY (Pcs)], "On KTR4-2")</f>
        <v>3304000</v>
      </c>
      <c r="O39" s="26"/>
      <c r="P39" s="4">
        <f>_xlfn.XLOOKUP(B39 &amp; "-" &amp; $A$27, Table3[HelperKey], Table3[Total Rolls], "On KTR-2")</f>
        <v>0</v>
      </c>
      <c r="Q39" s="26"/>
      <c r="R39" s="29" t="str">
        <f>IFERROR((Table5[[#This Row],[Cups Regrind]]/(Table5[[#This Row],[Current Production ]]+Table5[[#This Row],[Cups Regrind]])),"No Data Entry")</f>
        <v>No Data Entry</v>
      </c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</row>
    <row r="40" spans="1:32" s="27" customFormat="1" x14ac:dyDescent="0.25">
      <c r="A40" s="1">
        <v>12</v>
      </c>
      <c r="B40" s="4" t="s">
        <v>40</v>
      </c>
      <c r="C40" s="26"/>
      <c r="D40" s="26"/>
      <c r="E40" s="26"/>
      <c r="F40" s="4" t="str">
        <f>Table5[[#This Row],[Required QTY (Pcs)]]</f>
        <v>On KTR4-2</v>
      </c>
      <c r="G40" s="125"/>
      <c r="H40" s="127">
        <v>20000</v>
      </c>
      <c r="I40" s="127">
        <v>22</v>
      </c>
      <c r="J40" s="5" t="e">
        <f>(Table5[[#This Row],[Production Order (kg) ]]/Table5[[#This Row],[Speed]])/Table5[[#This Row],[Working Hours]]</f>
        <v>#VALUE!</v>
      </c>
      <c r="K40" s="126"/>
      <c r="L40" s="26"/>
      <c r="M40" s="4" t="e">
        <f>IF(F40-L40&lt;0,"Done",F40-L40)</f>
        <v>#VALUE!</v>
      </c>
      <c r="N40" s="4" t="str">
        <f>_xlfn.XLOOKUP(B40 &amp; "-" &amp; $A$27, Table3[HelperKey], Table3[Required QTY (Pcs)], "On KTR4-2")</f>
        <v>On KTR4-2</v>
      </c>
      <c r="O40" s="26"/>
      <c r="P40" s="4" t="str">
        <f>_xlfn.XLOOKUP(B40 &amp; "-" &amp; $A$27, Table3[HelperKey], Table3[Total Rolls], "On KTR-2")</f>
        <v>On KTR-2</v>
      </c>
      <c r="Q40" s="26"/>
      <c r="R40" s="29" t="str">
        <f>IFERROR((Table5[[#This Row],[Cups Regrind]]/(Table5[[#This Row],[Current Production ]]+Table5[[#This Row],[Cups Regrind]])),"No Data Entry")</f>
        <v>No Data Entry</v>
      </c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</row>
    <row r="41" spans="1:32" s="27" customFormat="1" x14ac:dyDescent="0.25">
      <c r="A41" s="1">
        <v>13</v>
      </c>
      <c r="B41" s="4" t="s">
        <v>41</v>
      </c>
      <c r="C41" s="26"/>
      <c r="D41" s="26"/>
      <c r="E41" s="26"/>
      <c r="F41" s="4">
        <f>Table5[[#This Row],[Required QTY (Pcs)]]</f>
        <v>1830000</v>
      </c>
      <c r="G41" s="111"/>
      <c r="H41" s="58">
        <v>20000</v>
      </c>
      <c r="I41" s="58">
        <v>22</v>
      </c>
      <c r="J41" s="5">
        <f>(Table5[[#This Row],[Production Order (kg) ]]/Table5[[#This Row],[Speed]])/Table5[[#This Row],[Working Hours]]</f>
        <v>4.1590909090909092</v>
      </c>
      <c r="K41" s="114"/>
      <c r="L41" s="26"/>
      <c r="M41" s="4">
        <f>IF(F41-L41&lt;0,"Done",F41-L41)</f>
        <v>1830000</v>
      </c>
      <c r="N41" s="4">
        <f>_xlfn.XLOOKUP(B41 &amp; "-" &amp; $A$27, Table3[HelperKey], Table3[Required QTY (Pcs)], "On KTR4-2")</f>
        <v>1830000</v>
      </c>
      <c r="O41" s="26"/>
      <c r="P41" s="4">
        <f>_xlfn.XLOOKUP(B41 &amp; "-" &amp; $A$27, Table3[HelperKey], Table3[Total Rolls], "On KTR-2")</f>
        <v>0</v>
      </c>
      <c r="Q41" s="26"/>
      <c r="R41" s="29" t="str">
        <f>IFERROR((Table5[[#This Row],[Cups Regrind]]/(Table5[[#This Row],[Current Production ]]+Table5[[#This Row],[Cups Regrind]])),"No Data Entry")</f>
        <v>No Data Entry</v>
      </c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</row>
    <row r="42" spans="1:32" s="27" customFormat="1" x14ac:dyDescent="0.25">
      <c r="A42" s="1">
        <v>14</v>
      </c>
      <c r="B42" s="4" t="s">
        <v>21</v>
      </c>
      <c r="C42" s="26"/>
      <c r="D42" s="26"/>
      <c r="E42" s="26"/>
      <c r="F42" s="4" t="str">
        <f>Table5[[#This Row],[Required QTY (Pcs)]]</f>
        <v>On KTR4-2</v>
      </c>
      <c r="G42" s="125"/>
      <c r="H42" s="127">
        <v>9000</v>
      </c>
      <c r="I42" s="127">
        <v>22</v>
      </c>
      <c r="J42" s="5" t="e">
        <f>(Table5[[#This Row],[Production Order (kg) ]]/Table5[[#This Row],[Speed]])/Table5[[#This Row],[Working Hours]]</f>
        <v>#VALUE!</v>
      </c>
      <c r="K42" s="126"/>
      <c r="L42" s="26"/>
      <c r="M42" s="4" t="e">
        <f>IF(F42-L42&lt;0,"Done",F42-L42)</f>
        <v>#VALUE!</v>
      </c>
      <c r="N42" s="4" t="str">
        <f>_xlfn.XLOOKUP(B42 &amp; "-" &amp; $A$27, Table3[HelperKey], Table3[Required QTY (Pcs)], "On KTR4-2")</f>
        <v>On KTR4-2</v>
      </c>
      <c r="O42" s="26"/>
      <c r="P42" s="4" t="str">
        <f>_xlfn.XLOOKUP(B42 &amp; "-" &amp; $A$27, Table3[HelperKey], Table3[Total Rolls], "On KTR-2")</f>
        <v>On KTR-2</v>
      </c>
      <c r="Q42" s="26"/>
      <c r="R42" s="29" t="str">
        <f>IFERROR((Table5[[#This Row],[Cups Regrind]]/(Table5[[#This Row],[Current Production ]]+Table5[[#This Row],[Cups Regrind]])),"No Data Entry")</f>
        <v>No Data Entry</v>
      </c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</row>
    <row r="43" spans="1:32" s="27" customFormat="1" x14ac:dyDescent="0.25">
      <c r="A43" s="1">
        <v>15</v>
      </c>
      <c r="B43" s="4" t="s">
        <v>22</v>
      </c>
      <c r="C43" s="26"/>
      <c r="D43" s="26"/>
      <c r="E43" s="26"/>
      <c r="F43" s="4">
        <f>Table5[[#This Row],[Required QTY (Pcs)]]</f>
        <v>30000</v>
      </c>
      <c r="G43" s="111"/>
      <c r="H43" s="58">
        <v>9000</v>
      </c>
      <c r="I43" s="58">
        <v>22</v>
      </c>
      <c r="J43" s="5">
        <f>(Table5[[#This Row],[Production Order (kg) ]]/Table5[[#This Row],[Speed]])/Table5[[#This Row],[Working Hours]]</f>
        <v>0.15151515151515152</v>
      </c>
      <c r="K43" s="114"/>
      <c r="L43" s="26"/>
      <c r="M43" s="4">
        <f>IF(F43-L43&lt;0,"Done",F43-L43)</f>
        <v>30000</v>
      </c>
      <c r="N43" s="4">
        <f>_xlfn.XLOOKUP(B43 &amp; "-" &amp; $A$27, Table3[HelperKey], Table3[Required QTY (Pcs)], "On KTR4-2")</f>
        <v>30000</v>
      </c>
      <c r="O43" s="26"/>
      <c r="P43" s="4">
        <f>_xlfn.XLOOKUP(B43 &amp; "-" &amp; $A$27, Table3[HelperKey], Table3[Total Rolls], "On KTR-2")</f>
        <v>0</v>
      </c>
      <c r="Q43" s="26"/>
      <c r="R43" s="29" t="str">
        <f>IFERROR((Table5[[#This Row],[Cups Regrind]]/(Table5[[#This Row],[Current Production ]]+Table5[[#This Row],[Cups Regrind]])),"No Data Entry")</f>
        <v>No Data Entry</v>
      </c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</row>
    <row r="44" spans="1:32" s="27" customFormat="1" x14ac:dyDescent="0.25">
      <c r="A44" s="1">
        <v>16</v>
      </c>
      <c r="B44" s="4" t="s">
        <v>23</v>
      </c>
      <c r="C44" s="26"/>
      <c r="D44" s="26"/>
      <c r="E44" s="26"/>
      <c r="F44" s="4" t="str">
        <f>Table5[[#This Row],[Required QTY (Pcs)]]</f>
        <v>On KTR4-2</v>
      </c>
      <c r="G44" s="125"/>
      <c r="H44" s="127">
        <v>9000</v>
      </c>
      <c r="I44" s="127">
        <v>22</v>
      </c>
      <c r="J44" s="5" t="e">
        <f>(Table5[[#This Row],[Production Order (kg) ]]/Table5[[#This Row],[Speed]])/Table5[[#This Row],[Working Hours]]</f>
        <v>#VALUE!</v>
      </c>
      <c r="K44" s="126"/>
      <c r="L44" s="26"/>
      <c r="M44" s="4" t="e">
        <f>IF(F44-L44&lt;0,"Done",F44-L44)</f>
        <v>#VALUE!</v>
      </c>
      <c r="N44" s="4" t="str">
        <f>_xlfn.XLOOKUP(B44 &amp; "-" &amp; $A$27, Table3[HelperKey], Table3[Required QTY (Pcs)], "On KTR4-2")</f>
        <v>On KTR4-2</v>
      </c>
      <c r="O44" s="26"/>
      <c r="P44" s="4" t="str">
        <f>_xlfn.XLOOKUP(B44 &amp; "-" &amp; $A$27, Table3[HelperKey], Table3[Total Rolls], "On KTR-2")</f>
        <v>On KTR-2</v>
      </c>
      <c r="Q44" s="26"/>
      <c r="R44" s="29" t="str">
        <f>IFERROR((Table5[[#This Row],[Cups Regrind]]/(Table5[[#This Row],[Current Production ]]+Table5[[#This Row],[Cups Regrind]])),"No Data Entry")</f>
        <v>No Data Entry</v>
      </c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</row>
    <row r="45" spans="1:32" s="27" customFormat="1" x14ac:dyDescent="0.25">
      <c r="A45" s="1">
        <v>17</v>
      </c>
      <c r="B45" s="4" t="s">
        <v>24</v>
      </c>
      <c r="C45" s="26"/>
      <c r="D45" s="26"/>
      <c r="E45" s="26"/>
      <c r="F45" s="4">
        <f>Table5[[#This Row],[Required QTY (Pcs)]]</f>
        <v>20000</v>
      </c>
      <c r="G45" s="111"/>
      <c r="H45" s="58">
        <v>9000</v>
      </c>
      <c r="I45" s="58">
        <v>22</v>
      </c>
      <c r="J45" s="5">
        <f>(Table5[[#This Row],[Production Order (kg) ]]/Table5[[#This Row],[Speed]])/Table5[[#This Row],[Working Hours]]</f>
        <v>0.10101010101010101</v>
      </c>
      <c r="K45" s="114"/>
      <c r="L45" s="26"/>
      <c r="M45" s="4">
        <f>IF(F45-L45&lt;0,"Done",F45-L45)</f>
        <v>20000</v>
      </c>
      <c r="N45" s="4">
        <f>_xlfn.XLOOKUP(B45 &amp; "-" &amp; $A$27, Table3[HelperKey], Table3[Required QTY (Pcs)], "On KTR4-2")</f>
        <v>20000</v>
      </c>
      <c r="O45" s="26"/>
      <c r="P45" s="4">
        <f>_xlfn.XLOOKUP(B45 &amp; "-" &amp; $A$27, Table3[HelperKey], Table3[Total Rolls], "On KTR-2")</f>
        <v>0</v>
      </c>
      <c r="Q45" s="26"/>
      <c r="R45" s="29" t="str">
        <f>IFERROR((Table5[[#This Row],[Cups Regrind]]/(Table5[[#This Row],[Current Production ]]+Table5[[#This Row],[Cups Regrind]])),"No Data Entry")</f>
        <v>No Data Entry</v>
      </c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</row>
    <row r="46" spans="1:32" s="27" customFormat="1" x14ac:dyDescent="0.25">
      <c r="A46" s="1">
        <v>18</v>
      </c>
      <c r="B46" s="4" t="s">
        <v>25</v>
      </c>
      <c r="C46" s="26"/>
      <c r="D46" s="26"/>
      <c r="E46" s="26"/>
      <c r="F46" s="4" t="str">
        <f>Table5[[#This Row],[Required QTY (Pcs)]]</f>
        <v>On KTR4-2</v>
      </c>
      <c r="G46" s="125"/>
      <c r="H46" s="127">
        <v>9000</v>
      </c>
      <c r="I46" s="127">
        <v>22</v>
      </c>
      <c r="J46" s="5" t="e">
        <f>(Table5[[#This Row],[Production Order (kg) ]]/Table5[[#This Row],[Speed]])/Table5[[#This Row],[Working Hours]]</f>
        <v>#VALUE!</v>
      </c>
      <c r="K46" s="126"/>
      <c r="L46" s="26"/>
      <c r="M46" s="4" t="e">
        <f>IF(F46-L46&lt;0,"Done",F46-L46)</f>
        <v>#VALUE!</v>
      </c>
      <c r="N46" s="4" t="str">
        <f>_xlfn.XLOOKUP(B46 &amp; "-" &amp; $A$27, Table3[HelperKey], Table3[Required QTY (Pcs)], "On KTR4-2")</f>
        <v>On KTR4-2</v>
      </c>
      <c r="O46" s="26"/>
      <c r="P46" s="4" t="str">
        <f>_xlfn.XLOOKUP(B46 &amp; "-" &amp; $A$27, Table3[HelperKey], Table3[Total Rolls], "On KTR-2")</f>
        <v>On KTR-2</v>
      </c>
      <c r="Q46" s="26"/>
      <c r="R46" s="29" t="str">
        <f>IFERROR((Table5[[#This Row],[Cups Regrind]]/(Table5[[#This Row],[Current Production ]]+Table5[[#This Row],[Cups Regrind]])),"No Data Entry")</f>
        <v>No Data Entry</v>
      </c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</row>
    <row r="47" spans="1:32" s="27" customFormat="1" x14ac:dyDescent="0.25">
      <c r="A47" s="1">
        <v>19</v>
      </c>
      <c r="B47" s="4" t="s">
        <v>26</v>
      </c>
      <c r="C47" s="26"/>
      <c r="D47" s="26"/>
      <c r="E47" s="26"/>
      <c r="F47" s="4">
        <f>Table5[[#This Row],[Required QTY (Pcs)]]</f>
        <v>58000</v>
      </c>
      <c r="G47" s="111"/>
      <c r="H47" s="58">
        <v>9000</v>
      </c>
      <c r="I47" s="58">
        <v>22</v>
      </c>
      <c r="J47" s="5">
        <f>(Table5[[#This Row],[Production Order (kg) ]]/Table5[[#This Row],[Speed]])/Table5[[#This Row],[Working Hours]]</f>
        <v>0.29292929292929293</v>
      </c>
      <c r="K47" s="114"/>
      <c r="L47" s="26"/>
      <c r="M47" s="4">
        <f>IF(F47-L47&lt;0,"Done",F47-L47)</f>
        <v>58000</v>
      </c>
      <c r="N47" s="4">
        <f>_xlfn.XLOOKUP(B47 &amp; "-" &amp; $A$27, Table3[HelperKey], Table3[Required QTY (Pcs)], "On KTR4-2")</f>
        <v>58000</v>
      </c>
      <c r="O47" s="26"/>
      <c r="P47" s="4">
        <f>_xlfn.XLOOKUP(B47 &amp; "-" &amp; $A$27, Table3[HelperKey], Table3[Total Rolls], "On KTR-2")</f>
        <v>0</v>
      </c>
      <c r="Q47" s="26"/>
      <c r="R47" s="29" t="str">
        <f>IFERROR((Table5[[#This Row],[Cups Regrind]]/(Table5[[#This Row],[Current Production ]]+Table5[[#This Row],[Cups Regrind]])),"No Data Entry")</f>
        <v>No Data Entry</v>
      </c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</row>
    <row r="48" spans="1:32" s="27" customFormat="1" x14ac:dyDescent="0.25">
      <c r="A48" s="1">
        <v>20</v>
      </c>
      <c r="B48" s="4" t="s">
        <v>38</v>
      </c>
      <c r="C48" s="26"/>
      <c r="D48" s="26"/>
      <c r="E48" s="26"/>
      <c r="F48" s="4" t="str">
        <f>Table5[[#This Row],[Required QTY (Pcs)]]</f>
        <v>On KTR4-2</v>
      </c>
      <c r="G48" s="125"/>
      <c r="H48" s="127">
        <v>6900</v>
      </c>
      <c r="I48" s="127">
        <v>22</v>
      </c>
      <c r="J48" s="5" t="e">
        <f>(Table5[[#This Row],[Production Order (kg) ]]/Table5[[#This Row],[Speed]])/Table5[[#This Row],[Working Hours]]</f>
        <v>#VALUE!</v>
      </c>
      <c r="K48" s="126"/>
      <c r="L48" s="26"/>
      <c r="M48" s="4" t="e">
        <f>IF(F48-L48&lt;0,"Done",F48-L48)</f>
        <v>#VALUE!</v>
      </c>
      <c r="N48" s="4" t="str">
        <f>_xlfn.XLOOKUP(B48 &amp; "-" &amp; $A$27, Table3[HelperKey], Table3[Required QTY (Pcs)], "On KTR4-2")</f>
        <v>On KTR4-2</v>
      </c>
      <c r="O48" s="26"/>
      <c r="P48" s="4" t="str">
        <f>_xlfn.XLOOKUP(B48 &amp; "-" &amp; $A$27, Table3[HelperKey], Table3[Total Rolls], "On KTR-2")</f>
        <v>On KTR-2</v>
      </c>
      <c r="Q48" s="26"/>
      <c r="R48" s="29" t="str">
        <f>IFERROR((Table5[[#This Row],[Cups Regrind]]/(Table5[[#This Row],[Current Production ]]+Table5[[#This Row],[Cups Regrind]])),"No Data Entry")</f>
        <v>No Data Entry</v>
      </c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</row>
    <row r="49" spans="1:32" s="27" customFormat="1" x14ac:dyDescent="0.25">
      <c r="A49" s="1">
        <v>21</v>
      </c>
      <c r="B49" s="4" t="s">
        <v>39</v>
      </c>
      <c r="C49" s="26"/>
      <c r="D49" s="26"/>
      <c r="E49" s="26"/>
      <c r="F49" s="4">
        <f>Table5[[#This Row],[Required QTY (Pcs)]]</f>
        <v>551000</v>
      </c>
      <c r="G49" s="111"/>
      <c r="H49" s="58">
        <v>9000</v>
      </c>
      <c r="I49" s="58">
        <v>22</v>
      </c>
      <c r="J49" s="5">
        <f>(Table5[[#This Row],[Production Order (kg) ]]/Table5[[#This Row],[Speed]])/Table5[[#This Row],[Working Hours]]</f>
        <v>2.7828282828282829</v>
      </c>
      <c r="K49" s="114"/>
      <c r="L49" s="26"/>
      <c r="M49" s="4">
        <f>IF(F49-L49&lt;0,"Done",F49-L49)</f>
        <v>551000</v>
      </c>
      <c r="N49" s="4">
        <f>_xlfn.XLOOKUP(B49 &amp; "-" &amp; $A$27, Table3[HelperKey], Table3[Required QTY (Pcs)], "On KTR4-2")</f>
        <v>551000</v>
      </c>
      <c r="O49" s="26"/>
      <c r="P49" s="4">
        <f>_xlfn.XLOOKUP(B49 &amp; "-" &amp; $A$27, Table3[HelperKey], Table3[Total Rolls], "On KTR-2")</f>
        <v>0</v>
      </c>
      <c r="Q49" s="26"/>
      <c r="R49" s="29" t="str">
        <f>IFERROR((Table5[[#This Row],[Cups Regrind]]/(Table5[[#This Row],[Current Production ]]+Table5[[#This Row],[Cups Regrind]])),"No Data Entry")</f>
        <v>No Data Entry</v>
      </c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</row>
    <row r="50" spans="1:32" s="27" customFormat="1" x14ac:dyDescent="0.25">
      <c r="A50" s="1">
        <v>22</v>
      </c>
      <c r="B50" s="4" t="s">
        <v>12</v>
      </c>
      <c r="C50" s="26"/>
      <c r="D50" s="26"/>
      <c r="E50" s="26"/>
      <c r="F50" s="4" t="str">
        <f>Table5[[#This Row],[Required QTY (Pcs)]]</f>
        <v>On KTR4-2</v>
      </c>
      <c r="G50" s="125"/>
      <c r="H50" s="127">
        <v>19000</v>
      </c>
      <c r="I50" s="127">
        <v>22</v>
      </c>
      <c r="J50" s="5" t="e">
        <f>(Table5[[#This Row],[Production Order (kg) ]]/Table5[[#This Row],[Speed]])/Table5[[#This Row],[Working Hours]]</f>
        <v>#VALUE!</v>
      </c>
      <c r="K50" s="126"/>
      <c r="L50" s="26"/>
      <c r="M50" s="4" t="e">
        <f>IF(F50-L50&lt;0,"Done",F50-L50)</f>
        <v>#VALUE!</v>
      </c>
      <c r="N50" s="4" t="str">
        <f>_xlfn.XLOOKUP(B50 &amp; "-" &amp; $A$27, Table3[HelperKey], Table3[Required QTY (Pcs)], "On KTR4-2")</f>
        <v>On KTR4-2</v>
      </c>
      <c r="O50" s="26"/>
      <c r="P50" s="4" t="str">
        <f>_xlfn.XLOOKUP(B50 &amp; "-" &amp; $A$27, Table3[HelperKey], Table3[Total Rolls], "On KTR-2")</f>
        <v>On KTR-2</v>
      </c>
      <c r="Q50" s="26"/>
      <c r="R50" s="29" t="str">
        <f>IFERROR((Table5[[#This Row],[Cups Regrind]]/(Table5[[#This Row],[Current Production ]]+Table5[[#This Row],[Cups Regrind]])),"No Data Entry")</f>
        <v>No Data Entry</v>
      </c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</row>
    <row r="51" spans="1:32" s="27" customFormat="1" ht="16.149999999999999" customHeight="1" thickBot="1" x14ac:dyDescent="0.3">
      <c r="A51" s="2">
        <v>23</v>
      </c>
      <c r="B51" s="53" t="s">
        <v>29</v>
      </c>
      <c r="C51" s="30"/>
      <c r="D51" s="30"/>
      <c r="E51" s="30"/>
      <c r="F51" s="6">
        <f>Table5[[#This Row],[Required QTY (Pcs)]]</f>
        <v>12000</v>
      </c>
      <c r="G51" s="136"/>
      <c r="H51" s="86">
        <v>6700</v>
      </c>
      <c r="I51" s="86">
        <v>22</v>
      </c>
      <c r="J51" s="7">
        <f>(Table5[[#This Row],[Production Order (kg) ]]/Table5[[#This Row],[Speed]])/Table5[[#This Row],[Working Hours]]</f>
        <v>8.1411126187245594E-2</v>
      </c>
      <c r="K51" s="137"/>
      <c r="L51" s="30"/>
      <c r="M51" s="6">
        <f>IF(F51-L51&lt;0,"Done",F51-L51)</f>
        <v>12000</v>
      </c>
      <c r="N51" s="6">
        <f>_xlfn.XLOOKUP(B51 &amp; "-" &amp; $A$27, Table3[HelperKey], Table3[Required QTY (Pcs)], "On KTR4-2")</f>
        <v>12000</v>
      </c>
      <c r="O51" s="30"/>
      <c r="P51" s="6">
        <f>_xlfn.XLOOKUP(B51 &amp; "-" &amp; $A$27, Table3[HelperKey], Table3[Total Rolls], "On KTR-2")</f>
        <v>0</v>
      </c>
      <c r="Q51" s="30"/>
      <c r="R51" s="51" t="str">
        <f>IFERROR((Table5[[#This Row],[Cups Regrind]]/(Table5[[#This Row],[Current Production ]]+Table5[[#This Row],[Cups Regrind]])),"No Data Entry")</f>
        <v>No Data Entry</v>
      </c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</row>
    <row r="52" spans="1:32" s="27" customFormat="1" ht="16.149999999999999" customHeight="1" x14ac:dyDescent="0.25">
      <c r="A52" s="129"/>
      <c r="B52" s="130"/>
      <c r="C52" s="130"/>
      <c r="D52" s="130"/>
      <c r="E52" s="130"/>
      <c r="F52" s="131"/>
      <c r="G52" s="130"/>
      <c r="H52" s="130"/>
      <c r="I52" s="130"/>
      <c r="J52" s="132"/>
      <c r="K52" s="133"/>
      <c r="L52" s="130"/>
      <c r="M52" s="130"/>
      <c r="N52" s="130"/>
      <c r="O52" s="130"/>
      <c r="P52" s="130"/>
      <c r="Q52" s="130"/>
      <c r="R52" s="130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</row>
    <row r="53" spans="1:32" s="27" customFormat="1" ht="16.149999999999999" customHeight="1" thickBot="1" x14ac:dyDescent="0.3">
      <c r="A53" s="118" t="s">
        <v>122</v>
      </c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</row>
    <row r="54" spans="1:32" s="33" customFormat="1" ht="16.149999999999999" customHeight="1" thickBot="1" x14ac:dyDescent="0.3">
      <c r="A54" s="68" t="s">
        <v>101</v>
      </c>
      <c r="B54" s="69" t="s">
        <v>133</v>
      </c>
      <c r="C54" s="69" t="s">
        <v>8</v>
      </c>
      <c r="D54" s="69" t="s">
        <v>105</v>
      </c>
      <c r="E54" s="69" t="s">
        <v>106</v>
      </c>
      <c r="F54" s="69" t="s">
        <v>107</v>
      </c>
      <c r="G54" s="70" t="s">
        <v>108</v>
      </c>
      <c r="H54" s="60" t="s">
        <v>146</v>
      </c>
      <c r="I54" s="60" t="s">
        <v>147</v>
      </c>
      <c r="J54" s="71" t="s">
        <v>109</v>
      </c>
      <c r="K54" s="70" t="s">
        <v>110</v>
      </c>
      <c r="L54" s="69" t="s">
        <v>111</v>
      </c>
      <c r="M54" s="71" t="s">
        <v>112</v>
      </c>
      <c r="N54" s="70" t="s">
        <v>115</v>
      </c>
      <c r="O54" s="70" t="s">
        <v>134</v>
      </c>
      <c r="P54" s="70" t="s">
        <v>135</v>
      </c>
      <c r="Q54" s="69" t="s">
        <v>136</v>
      </c>
      <c r="R54" s="72" t="s">
        <v>120</v>
      </c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</row>
    <row r="55" spans="1:32" s="27" customFormat="1" ht="16.149999999999999" customHeight="1" x14ac:dyDescent="0.25">
      <c r="A55" s="73">
        <v>1</v>
      </c>
      <c r="B55" s="64" t="s">
        <v>17</v>
      </c>
      <c r="C55" s="65"/>
      <c r="D55" s="65"/>
      <c r="E55" s="65"/>
      <c r="F55" s="64" t="str">
        <f>Table8[[#This Row],[Required QTY (Pcs)]]</f>
        <v>On KTR4-1</v>
      </c>
      <c r="G55" s="135">
        <v>46053.791666666664</v>
      </c>
      <c r="H55" s="85">
        <v>10500</v>
      </c>
      <c r="I55" s="85">
        <v>22</v>
      </c>
      <c r="J55" s="66" t="e">
        <f>(Table8[[#This Row],[Production Order (kg) ]]/Table8[[#This Row],[Speed]])/Table8[[#This Row],[Working Hours]]</f>
        <v>#VALUE!</v>
      </c>
      <c r="K55" s="128" t="e">
        <f>Table8[[#This Row],[Start Date]]+Table8[[#This Row],[PPT]]</f>
        <v>#VALUE!</v>
      </c>
      <c r="L55" s="65"/>
      <c r="M55" s="64" t="e">
        <f>IF(F55-L55&lt;0,"Done",F55-L55)</f>
        <v>#VALUE!</v>
      </c>
      <c r="N55" s="64" t="str">
        <f>_xlfn.XLOOKUP(B55 &amp; "-" &amp; $A$53, Table3[HelperKey], Table3[Required QTY (Pcs)], "On KTR4-1")</f>
        <v>On KTR4-1</v>
      </c>
      <c r="O55" s="65"/>
      <c r="P55" s="64" t="str">
        <f>_xlfn.XLOOKUP(B55 &amp; "-" &amp; $A$53, Table3[HelperKey], Table3[Total Rolls], "On KTR-1")</f>
        <v>On KTR-1</v>
      </c>
      <c r="Q55" s="65"/>
      <c r="R55" s="67" t="str">
        <f>IFERROR((Table8[[#This Row],[Cups Regrind]]/(Table8[[#This Row],[Current Production ]]+Table8[[#This Row],[Cups Regrind]])),"No Data Entry")</f>
        <v>No Data Entry</v>
      </c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</row>
    <row r="56" spans="1:32" s="27" customFormat="1" x14ac:dyDescent="0.25">
      <c r="A56" s="74">
        <v>2</v>
      </c>
      <c r="B56" s="4" t="s">
        <v>18</v>
      </c>
      <c r="C56" s="26"/>
      <c r="D56" s="26"/>
      <c r="E56" s="26"/>
      <c r="F56" s="4">
        <f>Table8[[#This Row],[Required QTY (Pcs)]]</f>
        <v>2239000</v>
      </c>
      <c r="G56" s="125"/>
      <c r="H56" s="127">
        <v>10500</v>
      </c>
      <c r="I56" s="127">
        <v>22</v>
      </c>
      <c r="J56" s="5">
        <f>(Table8[[#This Row],[Production Order (kg) ]]/Table8[[#This Row],[Speed]])/Table8[[#This Row],[Working Hours]]</f>
        <v>9.6926406926406923</v>
      </c>
      <c r="K56" s="126"/>
      <c r="L56" s="26"/>
      <c r="M56" s="4">
        <f>IF(F56-L56&lt;0,"Done",F56-L56)</f>
        <v>2239000</v>
      </c>
      <c r="N56" s="4">
        <f>_xlfn.XLOOKUP(B56 &amp; "-" &amp; $A$53, Table3[HelperKey], Table3[Required QTY (Pcs)], "On KTR4-1")</f>
        <v>2239000</v>
      </c>
      <c r="O56" s="26"/>
      <c r="P56" s="4">
        <f>_xlfn.XLOOKUP(B56 &amp; "-" &amp; $A$53, Table3[HelperKey], Table3[Total Rolls], "On KTR-1")</f>
        <v>0</v>
      </c>
      <c r="Q56" s="26"/>
      <c r="R56" s="29" t="str">
        <f>IFERROR((Table8[[#This Row],[Cups Regrind]]/(Table8[[#This Row],[Current Production ]]+Table8[[#This Row],[Cups Regrind]])),"No Data Entry")</f>
        <v>No Data Entry</v>
      </c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</row>
    <row r="57" spans="1:32" s="27" customFormat="1" x14ac:dyDescent="0.25">
      <c r="A57" s="74">
        <v>3</v>
      </c>
      <c r="B57" s="4" t="s">
        <v>31</v>
      </c>
      <c r="C57" s="26"/>
      <c r="D57" s="26"/>
      <c r="E57" s="26"/>
      <c r="F57" s="4" t="str">
        <f>Table8[[#This Row],[Required QTY (Pcs)]]</f>
        <v>On KTR4-1</v>
      </c>
      <c r="G57" s="111"/>
      <c r="H57" s="58">
        <v>15000</v>
      </c>
      <c r="I57" s="58">
        <v>22</v>
      </c>
      <c r="J57" s="5" t="e">
        <f>(Table8[[#This Row],[Production Order (kg) ]]/Table8[[#This Row],[Speed]])/Table8[[#This Row],[Working Hours]]</f>
        <v>#VALUE!</v>
      </c>
      <c r="K57" s="114"/>
      <c r="L57" s="26"/>
      <c r="M57" s="4" t="e">
        <f>IF(F57-L57&lt;0,"Done",F57-L57)</f>
        <v>#VALUE!</v>
      </c>
      <c r="N57" s="4" t="str">
        <f>_xlfn.XLOOKUP(B57 &amp; "-" &amp; $A$53, Table3[HelperKey], Table3[Required QTY (Pcs)], "On KTR4-1")</f>
        <v>On KTR4-1</v>
      </c>
      <c r="O57" s="26"/>
      <c r="P57" s="4" t="str">
        <f>_xlfn.XLOOKUP(B57 &amp; "-" &amp; $A$53, Table3[HelperKey], Table3[Total Rolls], "On KTR-1")</f>
        <v>On KTR-1</v>
      </c>
      <c r="Q57" s="26"/>
      <c r="R57" s="29" t="str">
        <f>IFERROR((Table8[[#This Row],[Cups Regrind]]/(Table8[[#This Row],[Current Production ]]+Table8[[#This Row],[Cups Regrind]])),"No Data Entry")</f>
        <v>No Data Entry</v>
      </c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</row>
    <row r="58" spans="1:32" s="27" customFormat="1" x14ac:dyDescent="0.25">
      <c r="A58" s="74">
        <v>4</v>
      </c>
      <c r="B58" s="4" t="s">
        <v>32</v>
      </c>
      <c r="C58" s="26"/>
      <c r="D58" s="26"/>
      <c r="E58" s="26"/>
      <c r="F58" s="4">
        <f>Table8[[#This Row],[Required QTY (Pcs)]]</f>
        <v>102000</v>
      </c>
      <c r="G58" s="125"/>
      <c r="H58" s="127">
        <v>17000</v>
      </c>
      <c r="I58" s="127">
        <v>22</v>
      </c>
      <c r="J58" s="5">
        <f>(Table8[[#This Row],[Production Order (kg) ]]/Table8[[#This Row],[Speed]])/Table8[[#This Row],[Working Hours]]</f>
        <v>0.27272727272727271</v>
      </c>
      <c r="K58" s="126"/>
      <c r="L58" s="26"/>
      <c r="M58" s="4">
        <f>IF(F58-L58&lt;0,"Done",F58-L58)</f>
        <v>102000</v>
      </c>
      <c r="N58" s="4">
        <f>_xlfn.XLOOKUP(B58 &amp; "-" &amp; $A$53, Table3[HelperKey], Table3[Required QTY (Pcs)], "On KTR4-1")</f>
        <v>102000</v>
      </c>
      <c r="O58" s="26"/>
      <c r="P58" s="4">
        <f>_xlfn.XLOOKUP(B58 &amp; "-" &amp; $A$53, Table3[HelperKey], Table3[Total Rolls], "On KTR-1")</f>
        <v>0</v>
      </c>
      <c r="Q58" s="26"/>
      <c r="R58" s="29" t="str">
        <f>IFERROR((Table8[[#This Row],[Cups Regrind]]/(Table8[[#This Row],[Current Production ]]+Table8[[#This Row],[Cups Regrind]])),"No Data Entry")</f>
        <v>No Data Entry</v>
      </c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</row>
    <row r="59" spans="1:32" s="27" customFormat="1" x14ac:dyDescent="0.25">
      <c r="A59" s="74">
        <v>5</v>
      </c>
      <c r="B59" s="4" t="s">
        <v>33</v>
      </c>
      <c r="C59" s="26"/>
      <c r="D59" s="26"/>
      <c r="E59" s="26"/>
      <c r="F59" s="4" t="str">
        <f>Table8[[#This Row],[Required QTY (Pcs)]]</f>
        <v>On KTR4-1</v>
      </c>
      <c r="G59" s="111"/>
      <c r="H59" s="58">
        <v>17000</v>
      </c>
      <c r="I59" s="58">
        <v>22</v>
      </c>
      <c r="J59" s="5" t="e">
        <f>(Table8[[#This Row],[Production Order (kg) ]]/Table8[[#This Row],[Speed]])/Table8[[#This Row],[Working Hours]]</f>
        <v>#VALUE!</v>
      </c>
      <c r="K59" s="114"/>
      <c r="L59" s="26"/>
      <c r="M59" s="4" t="e">
        <f>IF(F59-L59&lt;0,"Done",F59-L59)</f>
        <v>#VALUE!</v>
      </c>
      <c r="N59" s="4" t="str">
        <f>_xlfn.XLOOKUP(B59 &amp; "-" &amp; $A$53, Table3[HelperKey], Table3[Required QTY (Pcs)], "On KTR4-1")</f>
        <v>On KTR4-1</v>
      </c>
      <c r="O59" s="26"/>
      <c r="P59" s="4" t="str">
        <f>_xlfn.XLOOKUP(B59 &amp; "-" &amp; $A$53, Table3[HelperKey], Table3[Total Rolls], "On KTR-1")</f>
        <v>On KTR-1</v>
      </c>
      <c r="Q59" s="26"/>
      <c r="R59" s="29" t="str">
        <f>IFERROR((Table8[[#This Row],[Cups Regrind]]/(Table8[[#This Row],[Current Production ]]+Table8[[#This Row],[Cups Regrind]])),"No Data Entry")</f>
        <v>No Data Entry</v>
      </c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</row>
    <row r="60" spans="1:32" s="27" customFormat="1" x14ac:dyDescent="0.25">
      <c r="A60" s="74">
        <v>6</v>
      </c>
      <c r="B60" s="4" t="s">
        <v>34</v>
      </c>
      <c r="C60" s="26"/>
      <c r="D60" s="26"/>
      <c r="E60" s="26"/>
      <c r="F60" s="4">
        <f>Table8[[#This Row],[Required QTY (Pcs)]]</f>
        <v>47000</v>
      </c>
      <c r="G60" s="125"/>
      <c r="H60" s="127">
        <v>17000</v>
      </c>
      <c r="I60" s="127">
        <v>22</v>
      </c>
      <c r="J60" s="5">
        <f>(Table8[[#This Row],[Production Order (kg) ]]/Table8[[#This Row],[Speed]])/Table8[[#This Row],[Working Hours]]</f>
        <v>0.12566844919786097</v>
      </c>
      <c r="K60" s="126"/>
      <c r="L60" s="26"/>
      <c r="M60" s="4">
        <f>IF(F60-L60&lt;0,"Done",F60-L60)</f>
        <v>47000</v>
      </c>
      <c r="N60" s="4">
        <f>_xlfn.XLOOKUP(B60 &amp; "-" &amp; $A$53, Table3[HelperKey], Table3[Required QTY (Pcs)], "On KTR4-1")</f>
        <v>47000</v>
      </c>
      <c r="O60" s="26"/>
      <c r="P60" s="4">
        <f>_xlfn.XLOOKUP(B60 &amp; "-" &amp; $A$53, Table3[HelperKey], Table3[Total Rolls], "On KTR-1")</f>
        <v>0</v>
      </c>
      <c r="Q60" s="26"/>
      <c r="R60" s="29" t="str">
        <f>IFERROR((Table8[[#This Row],[Cups Regrind]]/(Table8[[#This Row],[Current Production ]]+Table8[[#This Row],[Cups Regrind]])),"No Data Entry")</f>
        <v>No Data Entry</v>
      </c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</row>
    <row r="61" spans="1:32" s="27" customFormat="1" x14ac:dyDescent="0.25">
      <c r="A61" s="74">
        <v>7</v>
      </c>
      <c r="B61" s="4" t="s">
        <v>20</v>
      </c>
      <c r="C61" s="26"/>
      <c r="D61" s="26"/>
      <c r="E61" s="26"/>
      <c r="F61" s="4" t="str">
        <f>Table8[[#This Row],[Required QTY (Pcs)]]</f>
        <v>On KTR4-1</v>
      </c>
      <c r="G61" s="111"/>
      <c r="H61" s="58">
        <v>17000</v>
      </c>
      <c r="I61" s="58">
        <v>22</v>
      </c>
      <c r="J61" s="5" t="e">
        <f>(Table8[[#This Row],[Production Order (kg) ]]/Table8[[#This Row],[Speed]])/Table8[[#This Row],[Working Hours]]</f>
        <v>#VALUE!</v>
      </c>
      <c r="K61" s="114"/>
      <c r="L61" s="26"/>
      <c r="M61" s="4" t="e">
        <f>IF(F61-L61&lt;0,"Done",F61-L61)</f>
        <v>#VALUE!</v>
      </c>
      <c r="N61" s="4" t="str">
        <f>_xlfn.XLOOKUP(B61 &amp; "-" &amp; $A$53, Table3[HelperKey], Table3[Required QTY (Pcs)], "On KTR4-1")</f>
        <v>On KTR4-1</v>
      </c>
      <c r="O61" s="26"/>
      <c r="P61" s="4" t="str">
        <f>_xlfn.XLOOKUP(B61 &amp; "-" &amp; $A$53, Table3[HelperKey], Table3[Total Rolls], "On KTR-1")</f>
        <v>On KTR-1</v>
      </c>
      <c r="Q61" s="26"/>
      <c r="R61" s="29" t="str">
        <f>IFERROR((Table8[[#This Row],[Cups Regrind]]/(Table8[[#This Row],[Current Production ]]+Table8[[#This Row],[Cups Regrind]])),"No Data Entry")</f>
        <v>No Data Entry</v>
      </c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</row>
    <row r="62" spans="1:32" s="27" customFormat="1" x14ac:dyDescent="0.25">
      <c r="A62" s="74">
        <v>8</v>
      </c>
      <c r="B62" s="4" t="s">
        <v>11</v>
      </c>
      <c r="C62" s="26"/>
      <c r="D62" s="26"/>
      <c r="E62" s="26"/>
      <c r="F62" s="4">
        <f>Table8[[#This Row],[Required QTY (Pcs)]]</f>
        <v>0</v>
      </c>
      <c r="G62" s="125"/>
      <c r="H62" s="127">
        <v>17000</v>
      </c>
      <c r="I62" s="127">
        <v>22</v>
      </c>
      <c r="J62" s="5">
        <f>(Table8[[#This Row],[Production Order (kg) ]]/Table8[[#This Row],[Speed]])/Table8[[#This Row],[Working Hours]]</f>
        <v>0</v>
      </c>
      <c r="K62" s="126"/>
      <c r="L62" s="26"/>
      <c r="M62" s="4">
        <f>IF(F62-L62&lt;0,"Done",F62-L62)</f>
        <v>0</v>
      </c>
      <c r="N62" s="4">
        <f>_xlfn.XLOOKUP(B62 &amp; "-" &amp; $A$53, Table3[HelperKey], Table3[Required QTY (Pcs)], "On KTR4-1")</f>
        <v>0</v>
      </c>
      <c r="O62" s="26"/>
      <c r="P62" s="4">
        <f>_xlfn.XLOOKUP(B62 &amp; "-" &amp; $A$53, Table3[HelperKey], Table3[Total Rolls], "On KTR-1")</f>
        <v>0</v>
      </c>
      <c r="Q62" s="26"/>
      <c r="R62" s="29" t="str">
        <f>IFERROR((Table8[[#This Row],[Cups Regrind]]/(Table8[[#This Row],[Current Production ]]+Table8[[#This Row],[Cups Regrind]])),"No Data Entry")</f>
        <v>No Data Entry</v>
      </c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</row>
    <row r="63" spans="1:32" s="27" customFormat="1" x14ac:dyDescent="0.25">
      <c r="A63" s="74">
        <v>9</v>
      </c>
      <c r="B63" s="4" t="s">
        <v>35</v>
      </c>
      <c r="C63" s="26"/>
      <c r="D63" s="26"/>
      <c r="E63" s="26"/>
      <c r="F63" s="4" t="str">
        <f>Table8[[#This Row],[Required QTY (Pcs)]]</f>
        <v>On KTR4-1</v>
      </c>
      <c r="G63" s="111"/>
      <c r="H63" s="58">
        <v>17000</v>
      </c>
      <c r="I63" s="58">
        <v>22</v>
      </c>
      <c r="J63" s="5" t="e">
        <f>(Table8[[#This Row],[Production Order (kg) ]]/Table8[[#This Row],[Speed]])/Table8[[#This Row],[Working Hours]]</f>
        <v>#VALUE!</v>
      </c>
      <c r="K63" s="114"/>
      <c r="L63" s="26"/>
      <c r="M63" s="4" t="e">
        <f>IF(F63-L63&lt;0,"Done",F63-L63)</f>
        <v>#VALUE!</v>
      </c>
      <c r="N63" s="4" t="str">
        <f>_xlfn.XLOOKUP(B63 &amp; "-" &amp; $A$53, Table3[HelperKey], Table3[Required QTY (Pcs)], "On KTR4-1")</f>
        <v>On KTR4-1</v>
      </c>
      <c r="O63" s="26"/>
      <c r="P63" s="4" t="str">
        <f>_xlfn.XLOOKUP(B63 &amp; "-" &amp; $A$53, Table3[HelperKey], Table3[Total Rolls], "On KTR-1")</f>
        <v>On KTR-1</v>
      </c>
      <c r="Q63" s="26"/>
      <c r="R63" s="29" t="str">
        <f>IFERROR((Table8[[#This Row],[Cups Regrind]]/(Table8[[#This Row],[Current Production ]]+Table8[[#This Row],[Cups Regrind]])),"No Data Entry")</f>
        <v>No Data Entry</v>
      </c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</row>
    <row r="64" spans="1:32" s="27" customFormat="1" x14ac:dyDescent="0.25">
      <c r="A64" s="74">
        <v>10</v>
      </c>
      <c r="B64" s="4" t="s">
        <v>36</v>
      </c>
      <c r="C64" s="26"/>
      <c r="D64" s="26"/>
      <c r="E64" s="26"/>
      <c r="F64" s="4">
        <f>Table8[[#This Row],[Required QTY (Pcs)]]</f>
        <v>4150000</v>
      </c>
      <c r="G64" s="125"/>
      <c r="H64" s="127">
        <v>17000</v>
      </c>
      <c r="I64" s="127">
        <v>22</v>
      </c>
      <c r="J64" s="5">
        <f>(Table8[[#This Row],[Production Order (kg) ]]/Table8[[#This Row],[Speed]])/Table8[[#This Row],[Working Hours]]</f>
        <v>11.096256684491978</v>
      </c>
      <c r="K64" s="126"/>
      <c r="L64" s="26"/>
      <c r="M64" s="4">
        <f>IF(F64-L64&lt;0,"Done",F64-L64)</f>
        <v>4150000</v>
      </c>
      <c r="N64" s="4">
        <f>_xlfn.XLOOKUP(B64 &amp; "-" &amp; $A$53, Table3[HelperKey], Table3[Required QTY (Pcs)], "On KTR4-1")</f>
        <v>4150000</v>
      </c>
      <c r="O64" s="26"/>
      <c r="P64" s="4">
        <f>_xlfn.XLOOKUP(B64 &amp; "-" &amp; $A$53, Table3[HelperKey], Table3[Total Rolls], "On KTR-1")</f>
        <v>0</v>
      </c>
      <c r="Q64" s="26"/>
      <c r="R64" s="29" t="str">
        <f>IFERROR((Table8[[#This Row],[Cups Regrind]]/(Table8[[#This Row],[Current Production ]]+Table8[[#This Row],[Cups Regrind]])),"No Data Entry")</f>
        <v>No Data Entry</v>
      </c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</row>
    <row r="65" spans="1:33" s="27" customFormat="1" x14ac:dyDescent="0.25">
      <c r="A65" s="74">
        <v>11</v>
      </c>
      <c r="B65" s="4" t="s">
        <v>37</v>
      </c>
      <c r="C65" s="26"/>
      <c r="D65" s="26"/>
      <c r="E65" s="26"/>
      <c r="F65" s="4" t="str">
        <f>Table8[[#This Row],[Required QTY (Pcs)]]</f>
        <v>On KTR4-1</v>
      </c>
      <c r="G65" s="111"/>
      <c r="H65" s="58">
        <v>17000</v>
      </c>
      <c r="I65" s="58">
        <v>22</v>
      </c>
      <c r="J65" s="5" t="e">
        <f>(Table8[[#This Row],[Production Order (kg) ]]/Table8[[#This Row],[Speed]])/Table8[[#This Row],[Working Hours]]</f>
        <v>#VALUE!</v>
      </c>
      <c r="K65" s="114"/>
      <c r="L65" s="26"/>
      <c r="M65" s="4" t="e">
        <f>IF(F65-L65&lt;0,"Done",F65-L65)</f>
        <v>#VALUE!</v>
      </c>
      <c r="N65" s="4" t="str">
        <f>_xlfn.XLOOKUP(B65 &amp; "-" &amp; $A$53, Table3[HelperKey], Table3[Required QTY (Pcs)], "On KTR4-1")</f>
        <v>On KTR4-1</v>
      </c>
      <c r="O65" s="26"/>
      <c r="P65" s="4" t="str">
        <f>_xlfn.XLOOKUP(B65 &amp; "-" &amp; $A$53, Table3[HelperKey], Table3[Total Rolls], "On KTR-1")</f>
        <v>On KTR-1</v>
      </c>
      <c r="Q65" s="26"/>
      <c r="R65" s="29" t="str">
        <f>IFERROR((Table8[[#This Row],[Cups Regrind]]/(Table8[[#This Row],[Current Production ]]+Table8[[#This Row],[Cups Regrind]])),"No Data Entry")</f>
        <v>No Data Entry</v>
      </c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</row>
    <row r="66" spans="1:33" s="27" customFormat="1" x14ac:dyDescent="0.25">
      <c r="A66" s="74">
        <v>12</v>
      </c>
      <c r="B66" s="4" t="s">
        <v>40</v>
      </c>
      <c r="C66" s="26"/>
      <c r="D66" s="26"/>
      <c r="E66" s="26"/>
      <c r="F66" s="4">
        <f>Table8[[#This Row],[Required QTY (Pcs)]]</f>
        <v>3400000</v>
      </c>
      <c r="G66" s="125"/>
      <c r="H66" s="127">
        <v>20000</v>
      </c>
      <c r="I66" s="127">
        <v>22</v>
      </c>
      <c r="J66" s="5">
        <f>(Table8[[#This Row],[Production Order (kg) ]]/Table8[[#This Row],[Speed]])/Table8[[#This Row],[Working Hours]]</f>
        <v>7.7272727272727275</v>
      </c>
      <c r="K66" s="126"/>
      <c r="L66" s="26"/>
      <c r="M66" s="4">
        <f>IF(F66-L66&lt;0,"Done",F66-L66)</f>
        <v>3400000</v>
      </c>
      <c r="N66" s="4">
        <f>_xlfn.XLOOKUP(B66 &amp; "-" &amp; $A$53, Table3[HelperKey], Table3[Required QTY (Pcs)], "On KTR4-1")</f>
        <v>3400000</v>
      </c>
      <c r="O66" s="26"/>
      <c r="P66" s="4">
        <f>_xlfn.XLOOKUP(B66 &amp; "-" &amp; $A$53, Table3[HelperKey], Table3[Total Rolls], "On KTR-1")</f>
        <v>0</v>
      </c>
      <c r="Q66" s="26"/>
      <c r="R66" s="29" t="str">
        <f>IFERROR((Table8[[#This Row],[Cups Regrind]]/(Table8[[#This Row],[Current Production ]]+Table8[[#This Row],[Cups Regrind]])),"No Data Entry")</f>
        <v>No Data Entry</v>
      </c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</row>
    <row r="67" spans="1:33" s="27" customFormat="1" x14ac:dyDescent="0.25">
      <c r="A67" s="74">
        <v>13</v>
      </c>
      <c r="B67" s="4" t="s">
        <v>41</v>
      </c>
      <c r="C67" s="26"/>
      <c r="D67" s="26"/>
      <c r="E67" s="26"/>
      <c r="F67" s="4" t="str">
        <f>Table8[[#This Row],[Required QTY (Pcs)]]</f>
        <v>On KTR4-1</v>
      </c>
      <c r="G67" s="111"/>
      <c r="H67" s="58">
        <v>20000</v>
      </c>
      <c r="I67" s="58">
        <v>22</v>
      </c>
      <c r="J67" s="5" t="e">
        <f>(Table8[[#This Row],[Production Order (kg) ]]/Table8[[#This Row],[Speed]])/Table8[[#This Row],[Working Hours]]</f>
        <v>#VALUE!</v>
      </c>
      <c r="K67" s="114"/>
      <c r="L67" s="26"/>
      <c r="M67" s="4" t="e">
        <f>IF(F67-L67&lt;0,"Done",F67-L67)</f>
        <v>#VALUE!</v>
      </c>
      <c r="N67" s="4" t="str">
        <f>_xlfn.XLOOKUP(B67 &amp; "-" &amp; $A$53, Table3[HelperKey], Table3[Required QTY (Pcs)], "On KTR4-1")</f>
        <v>On KTR4-1</v>
      </c>
      <c r="O67" s="26"/>
      <c r="P67" s="4" t="str">
        <f>_xlfn.XLOOKUP(B67 &amp; "-" &amp; $A$53, Table3[HelperKey], Table3[Total Rolls], "On KTR-1")</f>
        <v>On KTR-1</v>
      </c>
      <c r="Q67" s="26"/>
      <c r="R67" s="29" t="str">
        <f>IFERROR((Table8[[#This Row],[Cups Regrind]]/(Table8[[#This Row],[Current Production ]]+Table8[[#This Row],[Cups Regrind]])),"No Data Entry")</f>
        <v>No Data Entry</v>
      </c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</row>
    <row r="68" spans="1:33" s="27" customFormat="1" x14ac:dyDescent="0.25">
      <c r="A68" s="74">
        <v>14</v>
      </c>
      <c r="B68" s="4" t="s">
        <v>21</v>
      </c>
      <c r="C68" s="26"/>
      <c r="D68" s="26"/>
      <c r="E68" s="26"/>
      <c r="F68" s="4">
        <f>Table8[[#This Row],[Required QTY (Pcs)]]</f>
        <v>44000</v>
      </c>
      <c r="G68" s="125"/>
      <c r="H68" s="127">
        <v>9000</v>
      </c>
      <c r="I68" s="127">
        <v>22</v>
      </c>
      <c r="J68" s="5">
        <f>(Table8[[#This Row],[Production Order (kg) ]]/Table8[[#This Row],[Speed]])/Table8[[#This Row],[Working Hours]]</f>
        <v>0.22222222222222224</v>
      </c>
      <c r="K68" s="126"/>
      <c r="L68" s="26"/>
      <c r="M68" s="4">
        <f>IF(F68-L68&lt;0,"Done",F68-L68)</f>
        <v>44000</v>
      </c>
      <c r="N68" s="4">
        <f>_xlfn.XLOOKUP(B68 &amp; "-" &amp; $A$53, Table3[HelperKey], Table3[Required QTY (Pcs)], "On KTR4-1")</f>
        <v>44000</v>
      </c>
      <c r="O68" s="26"/>
      <c r="P68" s="4">
        <f>_xlfn.XLOOKUP(B68 &amp; "-" &amp; $A$53, Table3[HelperKey], Table3[Total Rolls], "On KTR-1")</f>
        <v>0</v>
      </c>
      <c r="Q68" s="26"/>
      <c r="R68" s="29" t="str">
        <f>IFERROR((Table8[[#This Row],[Cups Regrind]]/(Table8[[#This Row],[Current Production ]]+Table8[[#This Row],[Cups Regrind]])),"No Data Entry")</f>
        <v>No Data Entry</v>
      </c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</row>
    <row r="69" spans="1:33" s="27" customFormat="1" x14ac:dyDescent="0.25">
      <c r="A69" s="74">
        <v>15</v>
      </c>
      <c r="B69" s="4" t="s">
        <v>22</v>
      </c>
      <c r="C69" s="26"/>
      <c r="D69" s="26"/>
      <c r="E69" s="26"/>
      <c r="F69" s="4" t="str">
        <f>Table8[[#This Row],[Required QTY (Pcs)]]</f>
        <v>On KTR4-1</v>
      </c>
      <c r="G69" s="111"/>
      <c r="H69" s="58">
        <v>9000</v>
      </c>
      <c r="I69" s="58">
        <v>22</v>
      </c>
      <c r="J69" s="5" t="e">
        <f>(Table8[[#This Row],[Production Order (kg) ]]/Table8[[#This Row],[Speed]])/Table8[[#This Row],[Working Hours]]</f>
        <v>#VALUE!</v>
      </c>
      <c r="K69" s="114"/>
      <c r="L69" s="26"/>
      <c r="M69" s="4" t="e">
        <f>IF(F69-L69&lt;0,"Done",F69-L69)</f>
        <v>#VALUE!</v>
      </c>
      <c r="N69" s="4" t="str">
        <f>_xlfn.XLOOKUP(B69 &amp; "-" &amp; $A$53, Table3[HelperKey], Table3[Required QTY (Pcs)], "On KTR4-1")</f>
        <v>On KTR4-1</v>
      </c>
      <c r="O69" s="26"/>
      <c r="P69" s="4" t="str">
        <f>_xlfn.XLOOKUP(B69 &amp; "-" &amp; $A$53, Table3[HelperKey], Table3[Total Rolls], "On KTR-1")</f>
        <v>On KTR-1</v>
      </c>
      <c r="Q69" s="26"/>
      <c r="R69" s="29" t="str">
        <f>IFERROR((Table8[[#This Row],[Cups Regrind]]/(Table8[[#This Row],[Current Production ]]+Table8[[#This Row],[Cups Regrind]])),"No Data Entry")</f>
        <v>No Data Entry</v>
      </c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</row>
    <row r="70" spans="1:33" s="27" customFormat="1" x14ac:dyDescent="0.25">
      <c r="A70" s="74">
        <v>16</v>
      </c>
      <c r="B70" s="4" t="s">
        <v>23</v>
      </c>
      <c r="C70" s="26"/>
      <c r="D70" s="26"/>
      <c r="E70" s="26"/>
      <c r="F70" s="4">
        <f>Table8[[#This Row],[Required QTY (Pcs)]]</f>
        <v>20000</v>
      </c>
      <c r="G70" s="125"/>
      <c r="H70" s="127">
        <v>9000</v>
      </c>
      <c r="I70" s="127">
        <v>22</v>
      </c>
      <c r="J70" s="5">
        <f>(Table8[[#This Row],[Production Order (kg) ]]/Table8[[#This Row],[Speed]])/Table8[[#This Row],[Working Hours]]</f>
        <v>0.10101010101010101</v>
      </c>
      <c r="K70" s="126"/>
      <c r="L70" s="26"/>
      <c r="M70" s="4">
        <f>IF(F70-L70&lt;0,"Done",F70-L70)</f>
        <v>20000</v>
      </c>
      <c r="N70" s="4">
        <f>_xlfn.XLOOKUP(B70 &amp; "-" &amp; $A$53, Table3[HelperKey], Table3[Required QTY (Pcs)], "On KTR4-1")</f>
        <v>20000</v>
      </c>
      <c r="O70" s="26"/>
      <c r="P70" s="4">
        <f>_xlfn.XLOOKUP(B70 &amp; "-" &amp; $A$53, Table3[HelperKey], Table3[Total Rolls], "On KTR-1")</f>
        <v>0</v>
      </c>
      <c r="Q70" s="26"/>
      <c r="R70" s="29" t="str">
        <f>IFERROR((Table8[[#This Row],[Cups Regrind]]/(Table8[[#This Row],[Current Production ]]+Table8[[#This Row],[Cups Regrind]])),"No Data Entry")</f>
        <v>No Data Entry</v>
      </c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</row>
    <row r="71" spans="1:33" s="27" customFormat="1" x14ac:dyDescent="0.25">
      <c r="A71" s="74">
        <v>17</v>
      </c>
      <c r="B71" s="4" t="s">
        <v>24</v>
      </c>
      <c r="C71" s="26"/>
      <c r="D71" s="26"/>
      <c r="E71" s="26"/>
      <c r="F71" s="4" t="str">
        <f>Table8[[#This Row],[Required QTY (Pcs)]]</f>
        <v>On KTR4-1</v>
      </c>
      <c r="G71" s="111"/>
      <c r="H71" s="58">
        <v>9000</v>
      </c>
      <c r="I71" s="58">
        <v>22</v>
      </c>
      <c r="J71" s="5" t="e">
        <f>(Table8[[#This Row],[Production Order (kg) ]]/Table8[[#This Row],[Speed]])/Table8[[#This Row],[Working Hours]]</f>
        <v>#VALUE!</v>
      </c>
      <c r="K71" s="114"/>
      <c r="L71" s="26"/>
      <c r="M71" s="4" t="e">
        <f>IF(F71-L71&lt;0,"Done",F71-L71)</f>
        <v>#VALUE!</v>
      </c>
      <c r="N71" s="4" t="str">
        <f>_xlfn.XLOOKUP(B71 &amp; "-" &amp; $A$53, Table3[HelperKey], Table3[Required QTY (Pcs)], "On KTR4-1")</f>
        <v>On KTR4-1</v>
      </c>
      <c r="O71" s="26"/>
      <c r="P71" s="4" t="str">
        <f>_xlfn.XLOOKUP(B71 &amp; "-" &amp; $A$53, Table3[HelperKey], Table3[Total Rolls], "On KTR-1")</f>
        <v>On KTR-1</v>
      </c>
      <c r="Q71" s="26"/>
      <c r="R71" s="29" t="str">
        <f>IFERROR((Table8[[#This Row],[Cups Regrind]]/(Table8[[#This Row],[Current Production ]]+Table8[[#This Row],[Cups Regrind]])),"No Data Entry")</f>
        <v>No Data Entry</v>
      </c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</row>
    <row r="72" spans="1:33" s="27" customFormat="1" x14ac:dyDescent="0.25">
      <c r="A72" s="74">
        <v>18</v>
      </c>
      <c r="B72" s="4" t="s">
        <v>25</v>
      </c>
      <c r="C72" s="26"/>
      <c r="D72" s="26"/>
      <c r="E72" s="26"/>
      <c r="F72" s="4">
        <f>Table8[[#This Row],[Required QTY (Pcs)]]</f>
        <v>0</v>
      </c>
      <c r="G72" s="125"/>
      <c r="H72" s="127">
        <v>9000</v>
      </c>
      <c r="I72" s="127">
        <v>22</v>
      </c>
      <c r="J72" s="5">
        <f>(Table8[[#This Row],[Production Order (kg) ]]/Table8[[#This Row],[Speed]])/Table8[[#This Row],[Working Hours]]</f>
        <v>0</v>
      </c>
      <c r="K72" s="126"/>
      <c r="L72" s="26"/>
      <c r="M72" s="4">
        <f>IF(F72-L72&lt;0,"Done",F72-L72)</f>
        <v>0</v>
      </c>
      <c r="N72" s="4">
        <f>_xlfn.XLOOKUP(B72 &amp; "-" &amp; $A$53, Table3[HelperKey], Table3[Required QTY (Pcs)], "On KTR4-1")</f>
        <v>0</v>
      </c>
      <c r="O72" s="26"/>
      <c r="P72" s="4">
        <f>_xlfn.XLOOKUP(B72 &amp; "-" &amp; $A$53, Table3[HelperKey], Table3[Total Rolls], "On KTR-1")</f>
        <v>0</v>
      </c>
      <c r="Q72" s="26"/>
      <c r="R72" s="29" t="str">
        <f>IFERROR((Table8[[#This Row],[Cups Regrind]]/(Table8[[#This Row],[Current Production ]]+Table8[[#This Row],[Cups Regrind]])),"No Data Entry")</f>
        <v>No Data Entry</v>
      </c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</row>
    <row r="73" spans="1:33" s="27" customFormat="1" x14ac:dyDescent="0.25">
      <c r="A73" s="74">
        <v>19</v>
      </c>
      <c r="B73" s="4" t="s">
        <v>26</v>
      </c>
      <c r="C73" s="26"/>
      <c r="D73" s="26"/>
      <c r="E73" s="26"/>
      <c r="F73" s="4" t="str">
        <f>Table8[[#This Row],[Required QTY (Pcs)]]</f>
        <v>On KTR4-1</v>
      </c>
      <c r="G73" s="111"/>
      <c r="H73" s="58">
        <v>9000</v>
      </c>
      <c r="I73" s="58">
        <v>22</v>
      </c>
      <c r="J73" s="5" t="e">
        <f>(Table8[[#This Row],[Production Order (kg) ]]/Table8[[#This Row],[Speed]])/Table8[[#This Row],[Working Hours]]</f>
        <v>#VALUE!</v>
      </c>
      <c r="K73" s="114"/>
      <c r="L73" s="26"/>
      <c r="M73" s="4" t="e">
        <f>IF(F73-L73&lt;0,"Done",F73-L73)</f>
        <v>#VALUE!</v>
      </c>
      <c r="N73" s="4" t="str">
        <f>_xlfn.XLOOKUP(B73 &amp; "-" &amp; $A$53, Table3[HelperKey], Table3[Required QTY (Pcs)], "On KTR4-1")</f>
        <v>On KTR4-1</v>
      </c>
      <c r="O73" s="26"/>
      <c r="P73" s="4" t="str">
        <f>_xlfn.XLOOKUP(B73 &amp; "-" &amp; $A$53, Table3[HelperKey], Table3[Total Rolls], "On KTR-1")</f>
        <v>On KTR-1</v>
      </c>
      <c r="Q73" s="26"/>
      <c r="R73" s="29" t="str">
        <f>IFERROR((Table8[[#This Row],[Cups Regrind]]/(Table8[[#This Row],[Current Production ]]+Table8[[#This Row],[Cups Regrind]])),"No Data Entry")</f>
        <v>No Data Entry</v>
      </c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</row>
    <row r="74" spans="1:33" s="27" customFormat="1" x14ac:dyDescent="0.25">
      <c r="A74" s="74">
        <v>20</v>
      </c>
      <c r="B74" s="4" t="s">
        <v>38</v>
      </c>
      <c r="C74" s="26"/>
      <c r="D74" s="26"/>
      <c r="E74" s="26"/>
      <c r="F74" s="4">
        <f>Table8[[#This Row],[Required QTY (Pcs)]]</f>
        <v>2481000</v>
      </c>
      <c r="G74" s="125"/>
      <c r="H74" s="127">
        <v>6900</v>
      </c>
      <c r="I74" s="127">
        <v>22</v>
      </c>
      <c r="J74" s="5">
        <f>(Table8[[#This Row],[Production Order (kg) ]]/Table8[[#This Row],[Speed]])/Table8[[#This Row],[Working Hours]]</f>
        <v>16.343873517786562</v>
      </c>
      <c r="K74" s="126"/>
      <c r="L74" s="26"/>
      <c r="M74" s="4">
        <f>IF(F74-L74&lt;0,"Done",F74-L74)</f>
        <v>2481000</v>
      </c>
      <c r="N74" s="4">
        <f>_xlfn.XLOOKUP(B74 &amp; "-" &amp; $A$53, Table3[HelperKey], Table3[Required QTY (Pcs)], "On KTR4-1")</f>
        <v>2481000</v>
      </c>
      <c r="O74" s="26"/>
      <c r="P74" s="4">
        <f>_xlfn.XLOOKUP(B74 &amp; "-" &amp; $A$53, Table3[HelperKey], Table3[Total Rolls], "On KTR-1")</f>
        <v>0</v>
      </c>
      <c r="Q74" s="26"/>
      <c r="R74" s="29" t="str">
        <f>IFERROR((Table8[[#This Row],[Cups Regrind]]/(Table8[[#This Row],[Current Production ]]+Table8[[#This Row],[Cups Regrind]])),"No Data Entry")</f>
        <v>No Data Entry</v>
      </c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</row>
    <row r="75" spans="1:33" s="27" customFormat="1" x14ac:dyDescent="0.25">
      <c r="A75" s="74">
        <v>21</v>
      </c>
      <c r="B75" s="4" t="s">
        <v>39</v>
      </c>
      <c r="C75" s="26"/>
      <c r="D75" s="26"/>
      <c r="E75" s="26"/>
      <c r="F75" s="4" t="str">
        <f>Table8[[#This Row],[Required QTY (Pcs)]]</f>
        <v>On KTR4-1</v>
      </c>
      <c r="G75" s="111"/>
      <c r="H75" s="58">
        <v>9000</v>
      </c>
      <c r="I75" s="58">
        <v>22</v>
      </c>
      <c r="J75" s="5" t="e">
        <f>(Table8[[#This Row],[Production Order (kg) ]]/Table8[[#This Row],[Speed]])/Table8[[#This Row],[Working Hours]]</f>
        <v>#VALUE!</v>
      </c>
      <c r="K75" s="114"/>
      <c r="L75" s="26"/>
      <c r="M75" s="4" t="e">
        <f>IF(F75-L75&lt;0,"Done",F75-L75)</f>
        <v>#VALUE!</v>
      </c>
      <c r="N75" s="4" t="str">
        <f>_xlfn.XLOOKUP(B75 &amp; "-" &amp; $A$53, Table3[HelperKey], Table3[Required QTY (Pcs)], "On KTR4-1")</f>
        <v>On KTR4-1</v>
      </c>
      <c r="O75" s="26"/>
      <c r="P75" s="4" t="str">
        <f>_xlfn.XLOOKUP(B75 &amp; "-" &amp; $A$53, Table3[HelperKey], Table3[Total Rolls], "On KTR-1")</f>
        <v>On KTR-1</v>
      </c>
      <c r="Q75" s="26"/>
      <c r="R75" s="29" t="str">
        <f>IFERROR((Table8[[#This Row],[Cups Regrind]]/(Table8[[#This Row],[Current Production ]]+Table8[[#This Row],[Cups Regrind]])),"No Data Entry")</f>
        <v>No Data Entry</v>
      </c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</row>
    <row r="76" spans="1:33" s="27" customFormat="1" x14ac:dyDescent="0.25">
      <c r="A76" s="74">
        <v>22</v>
      </c>
      <c r="B76" s="4" t="s">
        <v>12</v>
      </c>
      <c r="C76" s="26"/>
      <c r="D76" s="26"/>
      <c r="E76" s="26"/>
      <c r="F76" s="4">
        <f>Table8[[#This Row],[Required QTY (Pcs)]]</f>
        <v>0</v>
      </c>
      <c r="G76" s="125"/>
      <c r="H76" s="127">
        <v>19000</v>
      </c>
      <c r="I76" s="127">
        <v>22</v>
      </c>
      <c r="J76" s="5">
        <f>(Table8[[#This Row],[Production Order (kg) ]]/Table8[[#This Row],[Speed]])/Table8[[#This Row],[Working Hours]]</f>
        <v>0</v>
      </c>
      <c r="K76" s="126"/>
      <c r="L76" s="26"/>
      <c r="M76" s="4">
        <f>IF(F76-L76&lt;0,"Done",F76-L76)</f>
        <v>0</v>
      </c>
      <c r="N76" s="4">
        <f>_xlfn.XLOOKUP(B76 &amp; "-" &amp; $A$53, Table3[HelperKey], Table3[Required QTY (Pcs)], "On KTR4-1")</f>
        <v>0</v>
      </c>
      <c r="O76" s="26"/>
      <c r="P76" s="4">
        <f>_xlfn.XLOOKUP(B76 &amp; "-" &amp; $A$53, Table3[HelperKey], Table3[Total Rolls], "On KTR-1")</f>
        <v>0</v>
      </c>
      <c r="Q76" s="26"/>
      <c r="R76" s="29" t="str">
        <f>IFERROR((Table8[[#This Row],[Cups Regrind]]/(Table8[[#This Row],[Current Production ]]+Table8[[#This Row],[Cups Regrind]])),"No Data Entry")</f>
        <v>No Data Entry</v>
      </c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</row>
    <row r="77" spans="1:33" s="27" customFormat="1" ht="16.149999999999999" customHeight="1" thickBot="1" x14ac:dyDescent="0.3">
      <c r="A77" s="75">
        <v>23</v>
      </c>
      <c r="B77" s="53" t="s">
        <v>29</v>
      </c>
      <c r="C77" s="30"/>
      <c r="D77" s="30"/>
      <c r="E77" s="30"/>
      <c r="F77" s="6" t="str">
        <f>Table8[[#This Row],[Required QTY (Pcs)]]</f>
        <v>On KTR4-1</v>
      </c>
      <c r="G77" s="136"/>
      <c r="H77" s="86">
        <v>6700</v>
      </c>
      <c r="I77" s="86">
        <v>22</v>
      </c>
      <c r="J77" s="7" t="e">
        <f>(Table8[[#This Row],[Production Order (kg) ]]/Table8[[#This Row],[Speed]])/Table8[[#This Row],[Working Hours]]</f>
        <v>#VALUE!</v>
      </c>
      <c r="K77" s="137"/>
      <c r="L77" s="30"/>
      <c r="M77" s="6" t="e">
        <f>IF(F77-L77&lt;0,"Done",F77-L77)</f>
        <v>#VALUE!</v>
      </c>
      <c r="N77" s="6" t="str">
        <f>_xlfn.XLOOKUP(B77 &amp; "-" &amp; $A$53, Table3[HelperKey], Table3[Required QTY (Pcs)], "On KTR4-1")</f>
        <v>On KTR4-1</v>
      </c>
      <c r="O77" s="30"/>
      <c r="P77" s="6" t="str">
        <f>_xlfn.XLOOKUP(B77 &amp; "-" &amp; $A$53, Table3[HelperKey], Table3[Total Rolls], "On KTR-1")</f>
        <v>On KTR-1</v>
      </c>
      <c r="Q77" s="30"/>
      <c r="R77" s="51" t="str">
        <f>IFERROR((Table8[[#This Row],[Cups Regrind]]/(Table8[[#This Row],[Current Production ]]+Table8[[#This Row],[Cups Regrind]])),"No Data Entry")</f>
        <v>No Data Entry</v>
      </c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</row>
    <row r="78" spans="1:33" s="35" customFormat="1" x14ac:dyDescent="0.25">
      <c r="A78" s="96"/>
      <c r="B78" s="87"/>
      <c r="C78" s="87"/>
      <c r="D78" s="87"/>
      <c r="E78" s="87"/>
      <c r="F78" s="31"/>
      <c r="G78" s="34"/>
      <c r="H78" s="31"/>
      <c r="I78" s="87"/>
      <c r="J78" s="87"/>
      <c r="K78" s="87"/>
      <c r="L78" s="87"/>
      <c r="M78" s="87"/>
      <c r="N78" s="87"/>
      <c r="O78" s="96"/>
      <c r="P78" s="87"/>
      <c r="Q78" s="88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</row>
    <row r="79" spans="1:33" ht="16.5" thickBot="1" x14ac:dyDescent="0.3">
      <c r="A79" s="118" t="s">
        <v>137</v>
      </c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39"/>
      <c r="R79" s="113"/>
      <c r="S79" s="138"/>
      <c r="T79" s="113"/>
      <c r="U79" s="113"/>
      <c r="V79" s="113"/>
      <c r="W79" s="113"/>
      <c r="X79" s="113"/>
      <c r="Y79" s="113"/>
    </row>
    <row r="80" spans="1:33" s="36" customFormat="1" ht="16.149999999999999" customHeight="1" x14ac:dyDescent="0.25">
      <c r="A80" s="76" t="s">
        <v>101</v>
      </c>
      <c r="B80" s="77" t="s">
        <v>119</v>
      </c>
      <c r="C80" s="77" t="s">
        <v>8</v>
      </c>
      <c r="D80" s="77" t="s">
        <v>105</v>
      </c>
      <c r="E80" s="77" t="s">
        <v>106</v>
      </c>
      <c r="F80" s="78" t="s">
        <v>138</v>
      </c>
      <c r="G80" s="70" t="s">
        <v>108</v>
      </c>
      <c r="H80" s="60" t="s">
        <v>146</v>
      </c>
      <c r="I80" s="60" t="s">
        <v>147</v>
      </c>
      <c r="J80" s="71" t="s">
        <v>109</v>
      </c>
      <c r="K80" s="70" t="s">
        <v>110</v>
      </c>
      <c r="L80" s="77" t="s">
        <v>139</v>
      </c>
      <c r="M80" s="78" t="s">
        <v>140</v>
      </c>
      <c r="N80" s="79" t="s">
        <v>141</v>
      </c>
      <c r="O80" s="79" t="s">
        <v>142</v>
      </c>
      <c r="P80" s="79" t="s">
        <v>136</v>
      </c>
      <c r="Q80" s="80" t="s">
        <v>120</v>
      </c>
      <c r="R80" s="84"/>
      <c r="S80" s="84"/>
      <c r="T80" s="113"/>
      <c r="U80" s="113"/>
      <c r="V80" s="113"/>
      <c r="W80" s="113"/>
      <c r="X80" s="113"/>
      <c r="Y80" s="113"/>
      <c r="Z80" s="84"/>
      <c r="AA80" s="84"/>
      <c r="AB80" s="84"/>
      <c r="AC80" s="84"/>
      <c r="AD80" s="84"/>
      <c r="AE80" s="84"/>
      <c r="AF80" s="84"/>
      <c r="AG80" s="84"/>
    </row>
    <row r="81" spans="1:25" x14ac:dyDescent="0.25">
      <c r="A81" s="123">
        <v>1</v>
      </c>
      <c r="B81" s="4" t="s">
        <v>17</v>
      </c>
      <c r="C81" s="37"/>
      <c r="D81" s="37"/>
      <c r="E81" s="37"/>
      <c r="F81" s="21">
        <f>Table7[[#This Row],[Req QTY For Printing]]</f>
        <v>235000</v>
      </c>
      <c r="G81" s="111">
        <v>46053.791666666664</v>
      </c>
      <c r="H81" s="58">
        <v>10500</v>
      </c>
      <c r="I81" s="58">
        <v>22</v>
      </c>
      <c r="J81" s="5">
        <f>(Table7[[#This Row],[Production Order]]/Table7[[#This Row],[Speed]])/Table7[[#This Row],[Working Hours]]</f>
        <v>1.0173160173160172</v>
      </c>
      <c r="K81" s="114">
        <f>Table7[[#This Row],[Start Date]]+Table7[[#This Row],[PPT]]</f>
        <v>46054.808982683979</v>
      </c>
      <c r="L81" s="37"/>
      <c r="M81" s="21">
        <f>IF(F81-L81&lt;0,"Done",F81-L81)</f>
        <v>235000</v>
      </c>
      <c r="N81" s="21">
        <f>_xlfn.XLOOKUP(Table7[[#This Row],[Product ]],Table6[Item Name],Table6[Qty],"Check QTY")</f>
        <v>235000</v>
      </c>
      <c r="O81" s="37"/>
      <c r="P81" s="37"/>
      <c r="Q81" s="21" t="str">
        <f>IFERROR((Table7[[#This Row],[Cups Regrind]]/(Table7[[#This Row],[Current production ]]+Table7[[#This Row],[Cups Regrind]])),"No Data Entry")</f>
        <v>No Data Entry</v>
      </c>
      <c r="T81" s="113"/>
      <c r="U81" s="113"/>
      <c r="V81" s="113"/>
      <c r="W81" s="113"/>
      <c r="X81" s="113"/>
      <c r="Y81" s="113"/>
    </row>
    <row r="82" spans="1:25" x14ac:dyDescent="0.25">
      <c r="A82" s="123">
        <v>2</v>
      </c>
      <c r="B82" s="4" t="s">
        <v>18</v>
      </c>
      <c r="C82" s="38"/>
      <c r="D82" s="37"/>
      <c r="E82" s="37"/>
      <c r="F82" s="21">
        <f>Table7[[#This Row],[Req QTY For Printing]]</f>
        <v>2239000</v>
      </c>
      <c r="G82" s="105"/>
      <c r="H82" s="58">
        <v>10500</v>
      </c>
      <c r="I82" s="58">
        <v>22</v>
      </c>
      <c r="J82" s="5">
        <f>(Table7[[#This Row],[Production Order]]/Table7[[#This Row],[Speed]])/Table7[[#This Row],[Working Hours]]</f>
        <v>9.6926406926406923</v>
      </c>
      <c r="K82" s="114"/>
      <c r="L82" s="37"/>
      <c r="M82" s="21">
        <f>IF(F82-L82&lt;0,"Done",F82-L82)</f>
        <v>2239000</v>
      </c>
      <c r="N82" s="21">
        <f>_xlfn.XLOOKUP(Table7[[#This Row],[Product ]],Table6[Item Name],Table6[Qty],"Check QTY")</f>
        <v>2239000</v>
      </c>
      <c r="O82" s="37"/>
      <c r="P82" s="37"/>
      <c r="Q82" s="21" t="str">
        <f>IFERROR((Table7[[#This Row],[Cups Regrind]]/(Table7[[#This Row],[Current production ]]+Table7[[#This Row],[Cups Regrind]])),"No Data Entry")</f>
        <v>No Data Entry</v>
      </c>
      <c r="T82" s="113"/>
      <c r="U82" s="113"/>
      <c r="V82" s="113"/>
      <c r="W82" s="113"/>
      <c r="X82" s="113"/>
      <c r="Y82" s="113"/>
    </row>
    <row r="83" spans="1:25" x14ac:dyDescent="0.25">
      <c r="A83" s="123">
        <v>3</v>
      </c>
      <c r="B83" s="4" t="s">
        <v>31</v>
      </c>
      <c r="C83" s="37"/>
      <c r="D83" s="37"/>
      <c r="E83" s="37"/>
      <c r="F83" s="21">
        <f>Table7[[#This Row],[Req QTY For Printing]]</f>
        <v>0</v>
      </c>
      <c r="G83" s="105"/>
      <c r="H83" s="58">
        <v>16000</v>
      </c>
      <c r="I83" s="58">
        <v>22</v>
      </c>
      <c r="J83" s="5">
        <f>(Table7[[#This Row],[Production Order]]/Table7[[#This Row],[Speed]])/Table7[[#This Row],[Working Hours]]</f>
        <v>0</v>
      </c>
      <c r="K83" s="114"/>
      <c r="L83" s="37"/>
      <c r="M83" s="21">
        <f>IF(F83-L83&lt;0,"Done",F83-L83)</f>
        <v>0</v>
      </c>
      <c r="N83" s="21">
        <f>_xlfn.XLOOKUP(Table7[[#This Row],[Product ]],Table6[Item Name],Table6[Qty],"Check QTY")</f>
        <v>0</v>
      </c>
      <c r="O83" s="37"/>
      <c r="P83" s="37"/>
      <c r="Q83" s="21" t="str">
        <f>IFERROR((Table7[[#This Row],[Cups Regrind]]/(Table7[[#This Row],[Current production ]]+Table7[[#This Row],[Cups Regrind]])),"No Data Entry")</f>
        <v>No Data Entry</v>
      </c>
      <c r="T83" s="113"/>
      <c r="U83" s="113"/>
      <c r="V83" s="113"/>
      <c r="W83" s="113"/>
      <c r="X83" s="113"/>
      <c r="Y83" s="113"/>
    </row>
    <row r="84" spans="1:25" x14ac:dyDescent="0.25">
      <c r="A84" s="123">
        <v>4</v>
      </c>
      <c r="B84" s="4" t="s">
        <v>32</v>
      </c>
      <c r="C84" s="37"/>
      <c r="D84" s="37"/>
      <c r="E84" s="37"/>
      <c r="F84" s="21">
        <f>Table7[[#This Row],[Req QTY For Printing]]</f>
        <v>102000</v>
      </c>
      <c r="G84" s="105"/>
      <c r="H84" s="58">
        <v>20000</v>
      </c>
      <c r="I84" s="58">
        <v>22</v>
      </c>
      <c r="J84" s="5">
        <f>(Table7[[#This Row],[Production Order]]/Table7[[#This Row],[Speed]])/Table7[[#This Row],[Working Hours]]</f>
        <v>0.23181818181818181</v>
      </c>
      <c r="K84" s="114"/>
      <c r="L84" s="37"/>
      <c r="M84" s="21">
        <f>IF(F84-L84&lt;0,"Done",F84-L84)</f>
        <v>102000</v>
      </c>
      <c r="N84" s="21">
        <f>_xlfn.XLOOKUP(Table7[[#This Row],[Product ]],Table6[Item Name],Table6[Qty],"Check QTY")</f>
        <v>102000</v>
      </c>
      <c r="O84" s="37"/>
      <c r="P84" s="37"/>
      <c r="Q84" s="21" t="str">
        <f>IFERROR((Table7[[#This Row],[Cups Regrind]]/(Table7[[#This Row],[Current production ]]+Table7[[#This Row],[Cups Regrind]])),"No Data Entry")</f>
        <v>No Data Entry</v>
      </c>
      <c r="T84" s="113"/>
      <c r="U84" s="113"/>
      <c r="V84" s="113"/>
      <c r="W84" s="113"/>
      <c r="X84" s="113"/>
      <c r="Y84" s="113"/>
    </row>
    <row r="85" spans="1:25" x14ac:dyDescent="0.25">
      <c r="A85" s="123">
        <v>5</v>
      </c>
      <c r="B85" s="4" t="s">
        <v>33</v>
      </c>
      <c r="C85" s="37"/>
      <c r="D85" s="37"/>
      <c r="E85" s="37"/>
      <c r="F85" s="21">
        <f>Table7[[#This Row],[Req QTY For Printing]]</f>
        <v>3866000</v>
      </c>
      <c r="G85" s="105"/>
      <c r="H85" s="58">
        <v>21500</v>
      </c>
      <c r="I85" s="58">
        <v>22</v>
      </c>
      <c r="J85" s="5">
        <f>(Table7[[#This Row],[Production Order]]/Table7[[#This Row],[Speed]])/Table7[[#This Row],[Working Hours]]</f>
        <v>8.1733615221987321</v>
      </c>
      <c r="K85" s="114"/>
      <c r="L85" s="37"/>
      <c r="M85" s="21">
        <f>IF(F85-L85&lt;0,"Done",F85-L85)</f>
        <v>3866000</v>
      </c>
      <c r="N85" s="21">
        <f>_xlfn.XLOOKUP(Table7[[#This Row],[Product ]],Table6[Item Name],Table6[Qty],"Check QTY")</f>
        <v>3866000</v>
      </c>
      <c r="O85" s="37"/>
      <c r="P85" s="37"/>
      <c r="Q85" s="21" t="str">
        <f>IFERROR((Table7[[#This Row],[Cups Regrind]]/(Table7[[#This Row],[Current production ]]+Table7[[#This Row],[Cups Regrind]])),"No Data Entry")</f>
        <v>No Data Entry</v>
      </c>
      <c r="T85" s="113"/>
      <c r="U85" s="113"/>
      <c r="V85" s="113"/>
      <c r="W85" s="113"/>
      <c r="X85" s="113"/>
      <c r="Y85" s="113"/>
    </row>
    <row r="86" spans="1:25" x14ac:dyDescent="0.25">
      <c r="A86" s="123">
        <v>6</v>
      </c>
      <c r="B86" s="4" t="s">
        <v>34</v>
      </c>
      <c r="C86" s="37"/>
      <c r="D86" s="37"/>
      <c r="E86" s="37"/>
      <c r="F86" s="21">
        <f>Table7[[#This Row],[Req QTY For Printing]]</f>
        <v>47000</v>
      </c>
      <c r="G86" s="105"/>
      <c r="H86" s="58">
        <v>21500</v>
      </c>
      <c r="I86" s="58">
        <v>22</v>
      </c>
      <c r="J86" s="5">
        <f>(Table7[[#This Row],[Production Order]]/Table7[[#This Row],[Speed]])/Table7[[#This Row],[Working Hours]]</f>
        <v>9.9365750528541227E-2</v>
      </c>
      <c r="K86" s="114"/>
      <c r="L86" s="37"/>
      <c r="M86" s="21">
        <f>IF(F86-L86&lt;0,"Done",F86-L86)</f>
        <v>47000</v>
      </c>
      <c r="N86" s="21">
        <f>_xlfn.XLOOKUP(Table7[[#This Row],[Product ]],Table6[Item Name],Table6[Qty],"Check QTY")</f>
        <v>47000</v>
      </c>
      <c r="O86" s="37"/>
      <c r="P86" s="37"/>
      <c r="Q86" s="21" t="str">
        <f>IFERROR((Table7[[#This Row],[Cups Regrind]]/(Table7[[#This Row],[Current production ]]+Table7[[#This Row],[Cups Regrind]])),"No Data Entry")</f>
        <v>No Data Entry</v>
      </c>
      <c r="T86" s="113"/>
      <c r="U86" s="113"/>
      <c r="V86" s="113"/>
      <c r="W86" s="113"/>
      <c r="X86" s="113"/>
      <c r="Y86" s="113"/>
    </row>
    <row r="87" spans="1:25" x14ac:dyDescent="0.25">
      <c r="A87" s="123">
        <v>7</v>
      </c>
      <c r="B87" s="4" t="s">
        <v>20</v>
      </c>
      <c r="C87" s="37"/>
      <c r="D87" s="37"/>
      <c r="E87" s="37"/>
      <c r="F87" s="21">
        <f>Table7[[#This Row],[Req QTY For Printing]]</f>
        <v>351000</v>
      </c>
      <c r="G87" s="105"/>
      <c r="H87" s="58">
        <v>21500</v>
      </c>
      <c r="I87" s="58">
        <v>22</v>
      </c>
      <c r="J87" s="5">
        <f>(Table7[[#This Row],[Production Order]]/Table7[[#This Row],[Speed]])/Table7[[#This Row],[Working Hours]]</f>
        <v>0.7420718816067654</v>
      </c>
      <c r="K87" s="114"/>
      <c r="L87" s="37"/>
      <c r="M87" s="21">
        <f>IF(F87-L87&lt;0,"Done",F87-L87)</f>
        <v>351000</v>
      </c>
      <c r="N87" s="21">
        <f>_xlfn.XLOOKUP(Table7[[#This Row],[Product ]],Table6[Item Name],Table6[Qty],"Check QTY")</f>
        <v>351000</v>
      </c>
      <c r="O87" s="37"/>
      <c r="P87" s="37"/>
      <c r="Q87" s="21" t="str">
        <f>IFERROR((Table7[[#This Row],[Cups Regrind]]/(Table7[[#This Row],[Current production ]]+Table7[[#This Row],[Cups Regrind]])),"No Data Entry")</f>
        <v>No Data Entry</v>
      </c>
      <c r="T87" s="113"/>
      <c r="U87" s="113"/>
      <c r="V87" s="113"/>
      <c r="W87" s="113"/>
      <c r="X87" s="113"/>
      <c r="Y87" s="113"/>
    </row>
    <row r="88" spans="1:25" x14ac:dyDescent="0.25">
      <c r="A88" s="123">
        <v>8</v>
      </c>
      <c r="B88" s="4" t="s">
        <v>11</v>
      </c>
      <c r="C88" s="37"/>
      <c r="D88" s="37"/>
      <c r="E88" s="37"/>
      <c r="F88" s="21">
        <f>Table7[[#This Row],[Req QTY For Printing]]</f>
        <v>0</v>
      </c>
      <c r="G88" s="105"/>
      <c r="H88" s="58">
        <v>20000</v>
      </c>
      <c r="I88" s="58">
        <v>22</v>
      </c>
      <c r="J88" s="5">
        <f>(Table7[[#This Row],[Production Order]]/Table7[[#This Row],[Speed]])/Table7[[#This Row],[Working Hours]]</f>
        <v>0</v>
      </c>
      <c r="K88" s="114"/>
      <c r="L88" s="37"/>
      <c r="M88" s="21">
        <f>IF(F88-L88&lt;0,"Done",F88-L88)</f>
        <v>0</v>
      </c>
      <c r="N88" s="21">
        <f>_xlfn.XLOOKUP(Table7[[#This Row],[Product ]],Table6[Item Name],Table6[Qty],"Check QTY")</f>
        <v>0</v>
      </c>
      <c r="O88" s="37"/>
      <c r="P88" s="37"/>
      <c r="Q88" s="21" t="str">
        <f>IFERROR((Table7[[#This Row],[Cups Regrind]]/(Table7[[#This Row],[Current production ]]+Table7[[#This Row],[Cups Regrind]])),"No Data Entry")</f>
        <v>No Data Entry</v>
      </c>
      <c r="T88" s="113"/>
      <c r="U88" s="113"/>
      <c r="V88" s="113"/>
      <c r="W88" s="113"/>
      <c r="X88" s="113"/>
      <c r="Y88" s="113"/>
    </row>
    <row r="89" spans="1:25" x14ac:dyDescent="0.25">
      <c r="A89" s="123">
        <v>9</v>
      </c>
      <c r="B89" s="4" t="s">
        <v>35</v>
      </c>
      <c r="C89" s="37"/>
      <c r="D89" s="37"/>
      <c r="E89" s="37"/>
      <c r="F89" s="21">
        <f>Table7[[#This Row],[Req QTY For Printing]]</f>
        <v>5318000</v>
      </c>
      <c r="G89" s="105"/>
      <c r="H89" s="58">
        <v>21500</v>
      </c>
      <c r="I89" s="58">
        <v>22</v>
      </c>
      <c r="J89" s="5">
        <f>(Table7[[#This Row],[Production Order]]/Table7[[#This Row],[Speed]])/Table7[[#This Row],[Working Hours]]</f>
        <v>11.243128964059197</v>
      </c>
      <c r="K89" s="114"/>
      <c r="L89" s="37"/>
      <c r="M89" s="21">
        <f>IF(F89-L89&lt;0,"Done",F89-L89)</f>
        <v>5318000</v>
      </c>
      <c r="N89" s="21">
        <f>_xlfn.XLOOKUP(Table7[[#This Row],[Product ]],Table6[Item Name],Table6[Qty],"Check QTY")</f>
        <v>5318000</v>
      </c>
      <c r="O89" s="37"/>
      <c r="P89" s="37"/>
      <c r="Q89" s="21" t="str">
        <f>IFERROR((Table7[[#This Row],[Cups Regrind]]/(Table7[[#This Row],[Current production ]]+Table7[[#This Row],[Cups Regrind]])),"No Data Entry")</f>
        <v>No Data Entry</v>
      </c>
      <c r="T89" s="113"/>
      <c r="U89" s="113"/>
      <c r="V89" s="113"/>
      <c r="W89" s="113"/>
      <c r="X89" s="113"/>
      <c r="Y89" s="113"/>
    </row>
    <row r="90" spans="1:25" x14ac:dyDescent="0.25">
      <c r="A90" s="123">
        <v>10</v>
      </c>
      <c r="B90" s="4" t="s">
        <v>36</v>
      </c>
      <c r="C90" s="37"/>
      <c r="D90" s="37"/>
      <c r="E90" s="37"/>
      <c r="F90" s="21">
        <f>Table7[[#This Row],[Req QTY For Printing]]</f>
        <v>4150000</v>
      </c>
      <c r="G90" s="105"/>
      <c r="H90" s="58">
        <v>20000</v>
      </c>
      <c r="I90" s="58">
        <v>22</v>
      </c>
      <c r="J90" s="5">
        <f>(Table7[[#This Row],[Production Order]]/Table7[[#This Row],[Speed]])/Table7[[#This Row],[Working Hours]]</f>
        <v>9.4318181818181817</v>
      </c>
      <c r="K90" s="114"/>
      <c r="L90" s="37"/>
      <c r="M90" s="21">
        <f>IF(F90-L90&lt;0,"Done",F90-L90)</f>
        <v>4150000</v>
      </c>
      <c r="N90" s="21">
        <f>_xlfn.XLOOKUP(Table7[[#This Row],[Product ]],Table6[Item Name],Table6[Qty],"Check QTY")</f>
        <v>4150000</v>
      </c>
      <c r="O90" s="37"/>
      <c r="P90" s="37"/>
      <c r="Q90" s="21" t="str">
        <f>IFERROR((Table7[[#This Row],[Cups Regrind]]/(Table7[[#This Row],[Current production ]]+Table7[[#This Row],[Cups Regrind]])),"No Data Entry")</f>
        <v>No Data Entry</v>
      </c>
      <c r="T90" s="113"/>
      <c r="U90" s="113"/>
      <c r="V90" s="113"/>
      <c r="W90" s="113"/>
      <c r="X90" s="113"/>
      <c r="Y90" s="113"/>
    </row>
    <row r="91" spans="1:25" x14ac:dyDescent="0.25">
      <c r="A91" s="123">
        <v>11</v>
      </c>
      <c r="B91" s="4" t="s">
        <v>37</v>
      </c>
      <c r="C91" s="37"/>
      <c r="D91" s="37"/>
      <c r="E91" s="37"/>
      <c r="F91" s="21">
        <f>Table7[[#This Row],[Req QTY For Printing]]</f>
        <v>3304000</v>
      </c>
      <c r="G91" s="105"/>
      <c r="H91" s="58">
        <v>20000</v>
      </c>
      <c r="I91" s="58">
        <v>22</v>
      </c>
      <c r="J91" s="5">
        <f>(Table7[[#This Row],[Production Order]]/Table7[[#This Row],[Speed]])/Table7[[#This Row],[Working Hours]]</f>
        <v>7.5090909090909088</v>
      </c>
      <c r="K91" s="114"/>
      <c r="L91" s="37"/>
      <c r="M91" s="21">
        <f>IF(F91-L91&lt;0,"Done",F91-L91)</f>
        <v>3304000</v>
      </c>
      <c r="N91" s="21">
        <f>_xlfn.XLOOKUP(Table7[[#This Row],[Product ]],Table6[Item Name],Table6[Qty],"Check QTY")</f>
        <v>3304000</v>
      </c>
      <c r="O91" s="37"/>
      <c r="P91" s="37"/>
      <c r="Q91" s="21" t="str">
        <f>IFERROR((Table7[[#This Row],[Cups Regrind]]/(Table7[[#This Row],[Current production ]]+Table7[[#This Row],[Cups Regrind]])),"No Data Entry")</f>
        <v>No Data Entry</v>
      </c>
      <c r="T91" s="113"/>
      <c r="U91" s="113"/>
      <c r="V91" s="113"/>
      <c r="W91" s="113"/>
      <c r="X91" s="113"/>
      <c r="Y91" s="113"/>
    </row>
    <row r="92" spans="1:25" x14ac:dyDescent="0.25">
      <c r="A92" s="123">
        <v>12</v>
      </c>
      <c r="B92" s="4" t="s">
        <v>40</v>
      </c>
      <c r="C92" s="37"/>
      <c r="D92" s="37"/>
      <c r="E92" s="37"/>
      <c r="F92" s="21">
        <f>Table7[[#This Row],[Req QTY For Printing]]</f>
        <v>3400000</v>
      </c>
      <c r="G92" s="105"/>
      <c r="H92" s="58">
        <v>22000</v>
      </c>
      <c r="I92" s="58">
        <v>22</v>
      </c>
      <c r="J92" s="5">
        <f>(Table7[[#This Row],[Production Order]]/Table7[[#This Row],[Speed]])/Table7[[#This Row],[Working Hours]]</f>
        <v>7.0247933884297513</v>
      </c>
      <c r="K92" s="114"/>
      <c r="L92" s="37"/>
      <c r="M92" s="21">
        <f>IF(F92-L92&lt;0,"Done",F92-L92)</f>
        <v>3400000</v>
      </c>
      <c r="N92" s="21">
        <f>_xlfn.XLOOKUP(Table7[[#This Row],[Product ]],Table6[Item Name],Table6[Qty],"Check QTY")</f>
        <v>3400000</v>
      </c>
      <c r="O92" s="37"/>
      <c r="P92" s="37"/>
      <c r="Q92" s="21" t="str">
        <f>IFERROR((Table7[[#This Row],[Cups Regrind]]/(Table7[[#This Row],[Current production ]]+Table7[[#This Row],[Cups Regrind]])),"No Data Entry")</f>
        <v>No Data Entry</v>
      </c>
      <c r="T92" s="113"/>
      <c r="U92" s="113"/>
      <c r="V92" s="113"/>
      <c r="W92" s="113"/>
      <c r="X92" s="113"/>
      <c r="Y92" s="113"/>
    </row>
    <row r="93" spans="1:25" x14ac:dyDescent="0.25">
      <c r="A93" s="123">
        <v>13</v>
      </c>
      <c r="B93" s="4" t="s">
        <v>41</v>
      </c>
      <c r="C93" s="37"/>
      <c r="D93" s="37"/>
      <c r="E93" s="37"/>
      <c r="F93" s="21">
        <f>Table7[[#This Row],[Req QTY For Printing]]</f>
        <v>1830000</v>
      </c>
      <c r="G93" s="105"/>
      <c r="H93" s="58">
        <v>22000</v>
      </c>
      <c r="I93" s="58">
        <v>22</v>
      </c>
      <c r="J93" s="5">
        <f>(Table7[[#This Row],[Production Order]]/Table7[[#This Row],[Speed]])/Table7[[#This Row],[Working Hours]]</f>
        <v>3.7809917355371905</v>
      </c>
      <c r="K93" s="114"/>
      <c r="L93" s="37"/>
      <c r="M93" s="21">
        <f>IF(F93-L93&lt;0,"Done",F93-L93)</f>
        <v>1830000</v>
      </c>
      <c r="N93" s="21">
        <f>_xlfn.XLOOKUP(Table7[[#This Row],[Product ]],Table6[Item Name],Table6[Qty],"Check QTY")</f>
        <v>1830000</v>
      </c>
      <c r="O93" s="37"/>
      <c r="P93" s="37"/>
      <c r="Q93" s="21" t="str">
        <f>IFERROR((Table7[[#This Row],[Cups Regrind]]/(Table7[[#This Row],[Current production ]]+Table7[[#This Row],[Cups Regrind]])),"No Data Entry")</f>
        <v>No Data Entry</v>
      </c>
      <c r="T93" s="113"/>
      <c r="U93" s="113"/>
      <c r="V93" s="113"/>
      <c r="W93" s="113"/>
      <c r="X93" s="113"/>
      <c r="Y93" s="113"/>
    </row>
    <row r="94" spans="1:25" x14ac:dyDescent="0.25">
      <c r="A94" s="123">
        <v>14</v>
      </c>
      <c r="B94" s="4" t="s">
        <v>21</v>
      </c>
      <c r="C94" s="37"/>
      <c r="D94" s="37"/>
      <c r="E94" s="37"/>
      <c r="F94" s="21">
        <f>Table7[[#This Row],[Req QTY For Printing]]</f>
        <v>44000</v>
      </c>
      <c r="G94" s="105"/>
      <c r="H94" s="58">
        <v>15000</v>
      </c>
      <c r="I94" s="58">
        <v>22</v>
      </c>
      <c r="J94" s="5">
        <f>(Table7[[#This Row],[Production Order]]/Table7[[#This Row],[Speed]])/Table7[[#This Row],[Working Hours]]</f>
        <v>0.13333333333333333</v>
      </c>
      <c r="K94" s="114"/>
      <c r="L94" s="37"/>
      <c r="M94" s="21">
        <f>IF(F94-L94&lt;0,"Done",F94-L94)</f>
        <v>44000</v>
      </c>
      <c r="N94" s="21">
        <f>_xlfn.XLOOKUP(Table7[[#This Row],[Product ]],Table6[Item Name],Table6[Qty],"Check QTY")</f>
        <v>44000</v>
      </c>
      <c r="O94" s="37"/>
      <c r="P94" s="37"/>
      <c r="Q94" s="21" t="str">
        <f>IFERROR((Table7[[#This Row],[Cups Regrind]]/(Table7[[#This Row],[Current production ]]+Table7[[#This Row],[Cups Regrind]])),"No Data Entry")</f>
        <v>No Data Entry</v>
      </c>
      <c r="T94" s="113"/>
      <c r="U94" s="113"/>
      <c r="V94" s="113"/>
      <c r="W94" s="113"/>
      <c r="X94" s="113"/>
      <c r="Y94" s="113"/>
    </row>
    <row r="95" spans="1:25" x14ac:dyDescent="0.25">
      <c r="A95" s="123">
        <v>15</v>
      </c>
      <c r="B95" s="4" t="s">
        <v>22</v>
      </c>
      <c r="C95" s="37"/>
      <c r="D95" s="37"/>
      <c r="E95" s="37"/>
      <c r="F95" s="21">
        <f>Table7[[#This Row],[Req QTY For Printing]]</f>
        <v>30000</v>
      </c>
      <c r="G95" s="105"/>
      <c r="H95" s="58">
        <v>15000</v>
      </c>
      <c r="I95" s="58">
        <v>22</v>
      </c>
      <c r="J95" s="5">
        <f>(Table7[[#This Row],[Production Order]]/Table7[[#This Row],[Speed]])/Table7[[#This Row],[Working Hours]]</f>
        <v>9.0909090909090912E-2</v>
      </c>
      <c r="K95" s="114"/>
      <c r="L95" s="37"/>
      <c r="M95" s="21">
        <f>IF(F95-L95&lt;0,"Done",F95-L95)</f>
        <v>30000</v>
      </c>
      <c r="N95" s="21">
        <f>_xlfn.XLOOKUP(Table7[[#This Row],[Product ]],Table6[Item Name],Table6[Qty],"Check QTY")</f>
        <v>30000</v>
      </c>
      <c r="O95" s="37"/>
      <c r="P95" s="37"/>
      <c r="Q95" s="21" t="str">
        <f>IFERROR((Table7[[#This Row],[Cups Regrind]]/(Table7[[#This Row],[Current production ]]+Table7[[#This Row],[Cups Regrind]])),"No Data Entry")</f>
        <v>No Data Entry</v>
      </c>
      <c r="T95" s="113"/>
      <c r="U95" s="113"/>
      <c r="V95" s="113"/>
      <c r="W95" s="113"/>
      <c r="X95" s="113"/>
      <c r="Y95" s="113"/>
    </row>
    <row r="96" spans="1:25" x14ac:dyDescent="0.25">
      <c r="A96" s="123">
        <v>16</v>
      </c>
      <c r="B96" s="4" t="s">
        <v>23</v>
      </c>
      <c r="C96" s="37"/>
      <c r="D96" s="37"/>
      <c r="E96" s="37"/>
      <c r="F96" s="21">
        <f>Table7[[#This Row],[Req QTY For Printing]]</f>
        <v>20000</v>
      </c>
      <c r="G96" s="105"/>
      <c r="H96" s="58">
        <v>15000</v>
      </c>
      <c r="I96" s="58">
        <v>22</v>
      </c>
      <c r="J96" s="5">
        <f>(Table7[[#This Row],[Production Order]]/Table7[[#This Row],[Speed]])/Table7[[#This Row],[Working Hours]]</f>
        <v>6.0606060606060601E-2</v>
      </c>
      <c r="K96" s="114"/>
      <c r="L96" s="37"/>
      <c r="M96" s="21">
        <f>IF(F96-L96&lt;0,"Done",F96-L96)</f>
        <v>20000</v>
      </c>
      <c r="N96" s="21">
        <f>_xlfn.XLOOKUP(Table7[[#This Row],[Product ]],Table6[Item Name],Table6[Qty],"Check QTY")</f>
        <v>20000</v>
      </c>
      <c r="O96" s="37"/>
      <c r="P96" s="37"/>
      <c r="Q96" s="21" t="str">
        <f>IFERROR((Table7[[#This Row],[Cups Regrind]]/(Table7[[#This Row],[Current production ]]+Table7[[#This Row],[Cups Regrind]])),"No Data Entry")</f>
        <v>No Data Entry</v>
      </c>
      <c r="T96" s="113"/>
      <c r="U96" s="113"/>
      <c r="V96" s="113"/>
      <c r="W96" s="113"/>
      <c r="X96" s="113"/>
      <c r="Y96" s="113"/>
    </row>
    <row r="97" spans="1:25" x14ac:dyDescent="0.25">
      <c r="A97" s="123">
        <v>17</v>
      </c>
      <c r="B97" s="4" t="s">
        <v>24</v>
      </c>
      <c r="C97" s="37"/>
      <c r="D97" s="37"/>
      <c r="E97" s="37"/>
      <c r="F97" s="21">
        <f>Table7[[#This Row],[Req QTY For Printing]]</f>
        <v>20000</v>
      </c>
      <c r="G97" s="105"/>
      <c r="H97" s="58">
        <v>15000</v>
      </c>
      <c r="I97" s="58">
        <v>22</v>
      </c>
      <c r="J97" s="5">
        <f>(Table7[[#This Row],[Production Order]]/Table7[[#This Row],[Speed]])/Table7[[#This Row],[Working Hours]]</f>
        <v>6.0606060606060601E-2</v>
      </c>
      <c r="K97" s="114"/>
      <c r="L97" s="37"/>
      <c r="M97" s="21">
        <f>IF(F97-L97&lt;0,"Done",F97-L97)</f>
        <v>20000</v>
      </c>
      <c r="N97" s="21">
        <f>_xlfn.XLOOKUP(Table7[[#This Row],[Product ]],Table6[Item Name],Table6[Qty],"Check QTY")</f>
        <v>20000</v>
      </c>
      <c r="O97" s="37"/>
      <c r="P97" s="37"/>
      <c r="Q97" s="21" t="str">
        <f>IFERROR((Table7[[#This Row],[Cups Regrind]]/(Table7[[#This Row],[Current production ]]+Table7[[#This Row],[Cups Regrind]])),"No Data Entry")</f>
        <v>No Data Entry</v>
      </c>
      <c r="T97" s="113"/>
      <c r="U97" s="113"/>
      <c r="V97" s="113"/>
      <c r="W97" s="113"/>
      <c r="X97" s="113"/>
      <c r="Y97" s="113"/>
    </row>
    <row r="98" spans="1:25" x14ac:dyDescent="0.25">
      <c r="A98" s="123">
        <v>18</v>
      </c>
      <c r="B98" s="4" t="s">
        <v>25</v>
      </c>
      <c r="C98" s="37"/>
      <c r="D98" s="37"/>
      <c r="E98" s="37"/>
      <c r="F98" s="21">
        <f>Table7[[#This Row],[Req QTY For Printing]]</f>
        <v>0</v>
      </c>
      <c r="G98" s="105"/>
      <c r="H98" s="58">
        <v>15000</v>
      </c>
      <c r="I98" s="58">
        <v>22</v>
      </c>
      <c r="J98" s="5">
        <f>(Table7[[#This Row],[Production Order]]/Table7[[#This Row],[Speed]])/Table7[[#This Row],[Working Hours]]</f>
        <v>0</v>
      </c>
      <c r="K98" s="114"/>
      <c r="L98" s="37"/>
      <c r="M98" s="21">
        <f>IF(F98-L98&lt;0,"Done",F98-L98)</f>
        <v>0</v>
      </c>
      <c r="N98" s="21">
        <f>_xlfn.XLOOKUP(Table7[[#This Row],[Product ]],Table6[Item Name],Table6[Qty],"Check QTY")</f>
        <v>0</v>
      </c>
      <c r="O98" s="37"/>
      <c r="P98" s="37"/>
      <c r="Q98" s="21" t="str">
        <f>IFERROR((Table7[[#This Row],[Cups Regrind]]/(Table7[[#This Row],[Current production ]]+Table7[[#This Row],[Cups Regrind]])),"No Data Entry")</f>
        <v>No Data Entry</v>
      </c>
      <c r="T98" s="113"/>
      <c r="U98" s="113"/>
      <c r="V98" s="113"/>
      <c r="W98" s="113"/>
      <c r="X98" s="113"/>
      <c r="Y98" s="113"/>
    </row>
    <row r="99" spans="1:25" ht="16.149999999999999" customHeight="1" x14ac:dyDescent="0.25">
      <c r="A99" s="123">
        <v>19</v>
      </c>
      <c r="B99" s="4" t="s">
        <v>26</v>
      </c>
      <c r="C99" s="37"/>
      <c r="D99" s="37"/>
      <c r="E99" s="37"/>
      <c r="F99" s="21">
        <f>Table7[[#This Row],[Req QTY For Printing]]</f>
        <v>58000</v>
      </c>
      <c r="G99" s="105"/>
      <c r="H99" s="58">
        <v>15000</v>
      </c>
      <c r="I99" s="58">
        <v>22</v>
      </c>
      <c r="J99" s="5">
        <f>(Table7[[#This Row],[Production Order]]/Table7[[#This Row],[Speed]])/Table7[[#This Row],[Working Hours]]</f>
        <v>0.17575757575757575</v>
      </c>
      <c r="K99" s="114"/>
      <c r="L99" s="37"/>
      <c r="M99" s="21">
        <f>IF(F99-L99&lt;0,"Done",F99-L99)</f>
        <v>58000</v>
      </c>
      <c r="N99" s="21">
        <f>_xlfn.XLOOKUP(Table7[[#This Row],[Product ]],Table6[Item Name],Table6[Qty],"Check QTY")</f>
        <v>58000</v>
      </c>
      <c r="O99" s="37"/>
      <c r="P99" s="37"/>
      <c r="Q99" s="21" t="str">
        <f>IFERROR((Table7[[#This Row],[Cups Regrind]]/(Table7[[#This Row],[Current production ]]+Table7[[#This Row],[Cups Regrind]])),"No Data Entry")</f>
        <v>No Data Entry</v>
      </c>
      <c r="T99" s="113"/>
      <c r="U99" s="113"/>
      <c r="V99" s="113"/>
      <c r="W99" s="113"/>
      <c r="X99" s="113"/>
      <c r="Y99" s="113"/>
    </row>
    <row r="100" spans="1:25" x14ac:dyDescent="0.25">
      <c r="B100" s="84"/>
      <c r="T100" s="113"/>
      <c r="U100" s="113"/>
      <c r="V100" s="113"/>
      <c r="W100" s="113"/>
      <c r="X100" s="113"/>
      <c r="Y100" s="113"/>
    </row>
    <row r="101" spans="1:25" x14ac:dyDescent="0.25">
      <c r="B101" s="84"/>
      <c r="T101" s="113"/>
      <c r="U101" s="113"/>
      <c r="V101" s="113"/>
      <c r="W101" s="113"/>
      <c r="X101" s="113"/>
      <c r="Y101" s="113"/>
    </row>
    <row r="102" spans="1:25" x14ac:dyDescent="0.25">
      <c r="B102" s="84"/>
      <c r="T102" s="113"/>
      <c r="U102" s="113"/>
      <c r="V102" s="113"/>
      <c r="W102" s="113"/>
      <c r="X102" s="113"/>
      <c r="Y102" s="113"/>
    </row>
    <row r="103" spans="1:25" x14ac:dyDescent="0.25">
      <c r="B103" s="84"/>
      <c r="T103" s="113"/>
      <c r="U103" s="113"/>
      <c r="V103" s="113"/>
      <c r="W103" s="113"/>
      <c r="X103" s="113"/>
      <c r="Y103" s="113"/>
    </row>
    <row r="104" spans="1:25" x14ac:dyDescent="0.25">
      <c r="B104" s="84"/>
      <c r="T104" s="113"/>
      <c r="U104" s="113"/>
      <c r="V104" s="113"/>
      <c r="W104" s="113"/>
      <c r="X104" s="113"/>
      <c r="Y104" s="113"/>
    </row>
    <row r="105" spans="1:25" x14ac:dyDescent="0.25">
      <c r="B105" s="84"/>
      <c r="T105" s="113"/>
      <c r="U105" s="113"/>
      <c r="V105" s="113"/>
      <c r="W105" s="113"/>
      <c r="X105" s="113"/>
      <c r="Y105" s="113"/>
    </row>
    <row r="106" spans="1:25" x14ac:dyDescent="0.25">
      <c r="B106" s="84"/>
      <c r="T106" s="113"/>
      <c r="U106" s="113"/>
      <c r="V106" s="113"/>
      <c r="W106" s="113"/>
      <c r="X106" s="113"/>
      <c r="Y106" s="113"/>
    </row>
    <row r="107" spans="1:25" x14ac:dyDescent="0.25">
      <c r="B107" s="84"/>
      <c r="T107" s="113"/>
      <c r="U107" s="113"/>
      <c r="V107" s="113"/>
      <c r="W107" s="113"/>
      <c r="X107" s="113"/>
      <c r="Y107" s="113"/>
    </row>
    <row r="108" spans="1:25" x14ac:dyDescent="0.25">
      <c r="B108" s="84"/>
      <c r="T108" s="113"/>
      <c r="U108" s="113"/>
      <c r="V108" s="113"/>
      <c r="W108" s="113"/>
      <c r="X108" s="113"/>
      <c r="Y108" s="113"/>
    </row>
    <row r="109" spans="1:25" x14ac:dyDescent="0.25">
      <c r="B109" s="84"/>
      <c r="T109" s="113"/>
      <c r="U109" s="113"/>
      <c r="V109" s="113"/>
      <c r="W109" s="113"/>
      <c r="X109" s="113"/>
      <c r="Y109" s="113"/>
    </row>
    <row r="110" spans="1:25" x14ac:dyDescent="0.25">
      <c r="B110" s="84"/>
      <c r="T110" s="113"/>
      <c r="U110" s="113"/>
      <c r="V110" s="113"/>
      <c r="W110" s="113"/>
      <c r="X110" s="113"/>
      <c r="Y110" s="113"/>
    </row>
    <row r="111" spans="1:25" x14ac:dyDescent="0.25">
      <c r="B111" s="84"/>
      <c r="T111" s="113"/>
      <c r="U111" s="113"/>
      <c r="V111" s="113"/>
      <c r="W111" s="113"/>
      <c r="X111" s="113"/>
      <c r="Y111" s="113"/>
    </row>
    <row r="112" spans="1:25" x14ac:dyDescent="0.25">
      <c r="B112" s="84"/>
      <c r="T112" s="113"/>
      <c r="U112" s="113"/>
      <c r="V112" s="113"/>
      <c r="W112" s="113"/>
      <c r="X112" s="113"/>
      <c r="Y112" s="113"/>
    </row>
    <row r="113" spans="2:25" x14ac:dyDescent="0.25">
      <c r="B113" s="84"/>
      <c r="T113" s="113"/>
      <c r="U113" s="113"/>
      <c r="V113" s="113"/>
      <c r="W113" s="113"/>
      <c r="X113" s="113"/>
      <c r="Y113" s="113"/>
    </row>
    <row r="114" spans="2:25" x14ac:dyDescent="0.25">
      <c r="B114" s="84"/>
      <c r="T114" s="113"/>
      <c r="U114" s="113"/>
      <c r="V114" s="113"/>
      <c r="W114" s="113"/>
      <c r="X114" s="113"/>
      <c r="Y114" s="113"/>
    </row>
    <row r="115" spans="2:25" x14ac:dyDescent="0.25">
      <c r="B115" s="84"/>
      <c r="T115" s="113"/>
      <c r="U115" s="113"/>
      <c r="V115" s="113"/>
      <c r="W115" s="113"/>
      <c r="X115" s="113"/>
      <c r="Y115" s="113"/>
    </row>
    <row r="116" spans="2:25" x14ac:dyDescent="0.25">
      <c r="B116" s="84"/>
      <c r="T116" s="113"/>
      <c r="U116" s="113"/>
      <c r="V116" s="113"/>
      <c r="W116" s="113"/>
      <c r="X116" s="113"/>
      <c r="Y116" s="113"/>
    </row>
    <row r="117" spans="2:25" x14ac:dyDescent="0.25">
      <c r="B117" s="84"/>
      <c r="T117" s="113"/>
      <c r="U117" s="113"/>
      <c r="V117" s="113"/>
      <c r="W117" s="113"/>
      <c r="X117" s="113"/>
      <c r="Y117" s="113"/>
    </row>
    <row r="118" spans="2:25" x14ac:dyDescent="0.25">
      <c r="B118" s="84"/>
      <c r="T118" s="113"/>
      <c r="U118" s="113"/>
      <c r="V118" s="113"/>
      <c r="W118" s="113"/>
      <c r="X118" s="113"/>
      <c r="Y118" s="113"/>
    </row>
    <row r="119" spans="2:25" x14ac:dyDescent="0.25">
      <c r="B119" s="84"/>
      <c r="T119" s="113"/>
      <c r="U119" s="113"/>
      <c r="V119" s="113"/>
      <c r="W119" s="113"/>
      <c r="X119" s="113"/>
      <c r="Y119" s="113"/>
    </row>
    <row r="120" spans="2:25" x14ac:dyDescent="0.25">
      <c r="B120" s="84"/>
      <c r="T120" s="113"/>
      <c r="U120" s="113"/>
      <c r="V120" s="113"/>
      <c r="W120" s="113"/>
      <c r="X120" s="113"/>
      <c r="Y120" s="113"/>
    </row>
    <row r="121" spans="2:25" x14ac:dyDescent="0.25">
      <c r="B121" s="84"/>
      <c r="T121" s="113"/>
      <c r="U121" s="113"/>
      <c r="V121" s="113"/>
      <c r="W121" s="113"/>
      <c r="X121" s="113"/>
      <c r="Y121" s="113"/>
    </row>
    <row r="122" spans="2:25" x14ac:dyDescent="0.25">
      <c r="B122" s="84"/>
      <c r="T122" s="113"/>
      <c r="U122" s="113"/>
      <c r="V122" s="113"/>
      <c r="W122" s="113"/>
      <c r="X122" s="113"/>
      <c r="Y122" s="113"/>
    </row>
    <row r="123" spans="2:25" x14ac:dyDescent="0.25">
      <c r="B123" s="84"/>
      <c r="T123" s="113"/>
      <c r="U123" s="113"/>
      <c r="V123" s="113"/>
      <c r="W123" s="113"/>
      <c r="X123" s="113"/>
      <c r="Y123" s="113"/>
    </row>
    <row r="124" spans="2:25" x14ac:dyDescent="0.25">
      <c r="B124" s="84"/>
    </row>
    <row r="125" spans="2:25" x14ac:dyDescent="0.25">
      <c r="B125" s="84"/>
    </row>
    <row r="126" spans="2:25" x14ac:dyDescent="0.25">
      <c r="B126" s="84"/>
    </row>
    <row r="127" spans="2:25" x14ac:dyDescent="0.25">
      <c r="B127" s="84"/>
    </row>
    <row r="128" spans="2:25" x14ac:dyDescent="0.25">
      <c r="B128" s="84"/>
    </row>
    <row r="129" spans="2:2" x14ac:dyDescent="0.25">
      <c r="B129" s="84"/>
    </row>
    <row r="130" spans="2:2" x14ac:dyDescent="0.25">
      <c r="B130" s="84"/>
    </row>
    <row r="131" spans="2:2" x14ac:dyDescent="0.25">
      <c r="B131" s="84"/>
    </row>
    <row r="132" spans="2:2" x14ac:dyDescent="0.25">
      <c r="B132" s="84"/>
    </row>
    <row r="133" spans="2:2" x14ac:dyDescent="0.25">
      <c r="B133" s="84"/>
    </row>
    <row r="134" spans="2:2" x14ac:dyDescent="0.25">
      <c r="B134" s="84"/>
    </row>
    <row r="135" spans="2:2" x14ac:dyDescent="0.25">
      <c r="B135" s="84"/>
    </row>
    <row r="136" spans="2:2" x14ac:dyDescent="0.25">
      <c r="B136" s="84"/>
    </row>
    <row r="137" spans="2:2" x14ac:dyDescent="0.25">
      <c r="B137" s="84"/>
    </row>
    <row r="138" spans="2:2" x14ac:dyDescent="0.25">
      <c r="B138" s="84"/>
    </row>
    <row r="139" spans="2:2" x14ac:dyDescent="0.25">
      <c r="B139" s="84"/>
    </row>
    <row r="140" spans="2:2" x14ac:dyDescent="0.25">
      <c r="B140" s="84"/>
    </row>
    <row r="141" spans="2:2" x14ac:dyDescent="0.25">
      <c r="B141" s="84"/>
    </row>
    <row r="142" spans="2:2" x14ac:dyDescent="0.25">
      <c r="B142" s="84"/>
    </row>
    <row r="143" spans="2:2" x14ac:dyDescent="0.25">
      <c r="B143" s="84"/>
    </row>
    <row r="144" spans="2:2" x14ac:dyDescent="0.25">
      <c r="B144" s="84"/>
    </row>
    <row r="145" spans="2:2" x14ac:dyDescent="0.25">
      <c r="B145" s="84"/>
    </row>
    <row r="146" spans="2:2" x14ac:dyDescent="0.25">
      <c r="B146" s="84"/>
    </row>
    <row r="147" spans="2:2" x14ac:dyDescent="0.25">
      <c r="B147" s="84"/>
    </row>
    <row r="148" spans="2:2" x14ac:dyDescent="0.25">
      <c r="B148" s="84"/>
    </row>
    <row r="149" spans="2:2" x14ac:dyDescent="0.25">
      <c r="B149" s="84"/>
    </row>
    <row r="150" spans="2:2" x14ac:dyDescent="0.25">
      <c r="B150" s="84"/>
    </row>
    <row r="151" spans="2:2" x14ac:dyDescent="0.25">
      <c r="B151" s="84"/>
    </row>
    <row r="152" spans="2:2" x14ac:dyDescent="0.25">
      <c r="B152" s="84"/>
    </row>
    <row r="153" spans="2:2" x14ac:dyDescent="0.25">
      <c r="B153" s="84"/>
    </row>
    <row r="154" spans="2:2" x14ac:dyDescent="0.25">
      <c r="B154" s="84"/>
    </row>
    <row r="155" spans="2:2" x14ac:dyDescent="0.25">
      <c r="B155" s="84"/>
    </row>
    <row r="156" spans="2:2" x14ac:dyDescent="0.25">
      <c r="B156" s="84"/>
    </row>
    <row r="157" spans="2:2" x14ac:dyDescent="0.25">
      <c r="B157" s="84"/>
    </row>
    <row r="158" spans="2:2" x14ac:dyDescent="0.25">
      <c r="B158" s="84"/>
    </row>
    <row r="159" spans="2:2" x14ac:dyDescent="0.25">
      <c r="B159" s="84"/>
    </row>
    <row r="160" spans="2:2" x14ac:dyDescent="0.25">
      <c r="B160" s="84"/>
    </row>
    <row r="161" spans="2:2" x14ac:dyDescent="0.25">
      <c r="B161" s="84"/>
    </row>
    <row r="162" spans="2:2" x14ac:dyDescent="0.25">
      <c r="B162" s="84"/>
    </row>
    <row r="163" spans="2:2" x14ac:dyDescent="0.25">
      <c r="B163" s="84"/>
    </row>
    <row r="164" spans="2:2" x14ac:dyDescent="0.25">
      <c r="B164" s="84"/>
    </row>
    <row r="165" spans="2:2" x14ac:dyDescent="0.25">
      <c r="B165" s="84"/>
    </row>
    <row r="166" spans="2:2" x14ac:dyDescent="0.25">
      <c r="B166" s="84"/>
    </row>
    <row r="167" spans="2:2" x14ac:dyDescent="0.25">
      <c r="B167" s="84"/>
    </row>
    <row r="168" spans="2:2" x14ac:dyDescent="0.25">
      <c r="B168" s="84"/>
    </row>
    <row r="169" spans="2:2" x14ac:dyDescent="0.25">
      <c r="B169" s="84"/>
    </row>
    <row r="170" spans="2:2" x14ac:dyDescent="0.25">
      <c r="B170" s="84"/>
    </row>
    <row r="171" spans="2:2" x14ac:dyDescent="0.25">
      <c r="B171" s="84"/>
    </row>
    <row r="172" spans="2:2" x14ac:dyDescent="0.25">
      <c r="B172" s="84"/>
    </row>
    <row r="173" spans="2:2" x14ac:dyDescent="0.25">
      <c r="B173" s="84"/>
    </row>
    <row r="174" spans="2:2" x14ac:dyDescent="0.25">
      <c r="B174" s="84"/>
    </row>
    <row r="175" spans="2:2" x14ac:dyDescent="0.25">
      <c r="B175" s="84"/>
    </row>
    <row r="176" spans="2:2" x14ac:dyDescent="0.25">
      <c r="B176" s="84"/>
    </row>
    <row r="177" spans="2:2" x14ac:dyDescent="0.25">
      <c r="B177" s="84"/>
    </row>
    <row r="178" spans="2:2" x14ac:dyDescent="0.25">
      <c r="B178" s="84"/>
    </row>
    <row r="179" spans="2:2" x14ac:dyDescent="0.25">
      <c r="B179" s="84"/>
    </row>
    <row r="180" spans="2:2" x14ac:dyDescent="0.25">
      <c r="B180" s="84"/>
    </row>
    <row r="181" spans="2:2" x14ac:dyDescent="0.25">
      <c r="B181" s="84"/>
    </row>
    <row r="182" spans="2:2" x14ac:dyDescent="0.25">
      <c r="B182" s="84"/>
    </row>
    <row r="183" spans="2:2" x14ac:dyDescent="0.25">
      <c r="B183" s="84"/>
    </row>
    <row r="184" spans="2:2" x14ac:dyDescent="0.25">
      <c r="B184" s="84"/>
    </row>
    <row r="185" spans="2:2" x14ac:dyDescent="0.25">
      <c r="B185" s="84"/>
    </row>
    <row r="186" spans="2:2" x14ac:dyDescent="0.25">
      <c r="B186" s="84"/>
    </row>
    <row r="187" spans="2:2" x14ac:dyDescent="0.25">
      <c r="B187" s="84"/>
    </row>
    <row r="188" spans="2:2" x14ac:dyDescent="0.25">
      <c r="B188" s="84"/>
    </row>
    <row r="189" spans="2:2" x14ac:dyDescent="0.25">
      <c r="B189" s="84"/>
    </row>
    <row r="190" spans="2:2" x14ac:dyDescent="0.25">
      <c r="B190" s="84"/>
    </row>
    <row r="191" spans="2:2" x14ac:dyDescent="0.25">
      <c r="B191" s="84"/>
    </row>
    <row r="192" spans="2:2" x14ac:dyDescent="0.25">
      <c r="B192" s="84"/>
    </row>
    <row r="193" spans="2:2" x14ac:dyDescent="0.25">
      <c r="B193" s="84"/>
    </row>
    <row r="194" spans="2:2" x14ac:dyDescent="0.25">
      <c r="B194" s="84"/>
    </row>
    <row r="195" spans="2:2" x14ac:dyDescent="0.25">
      <c r="B195" s="84"/>
    </row>
    <row r="196" spans="2:2" x14ac:dyDescent="0.25">
      <c r="B196" s="84"/>
    </row>
    <row r="197" spans="2:2" x14ac:dyDescent="0.25">
      <c r="B197" s="84"/>
    </row>
    <row r="198" spans="2:2" x14ac:dyDescent="0.25">
      <c r="B198" s="84"/>
    </row>
    <row r="199" spans="2:2" x14ac:dyDescent="0.25">
      <c r="B199" s="84"/>
    </row>
    <row r="200" spans="2:2" x14ac:dyDescent="0.25">
      <c r="B200" s="84"/>
    </row>
    <row r="201" spans="2:2" x14ac:dyDescent="0.25">
      <c r="B201" s="84"/>
    </row>
    <row r="202" spans="2:2" x14ac:dyDescent="0.25">
      <c r="B202" s="84"/>
    </row>
    <row r="203" spans="2:2" x14ac:dyDescent="0.25">
      <c r="B203" s="84"/>
    </row>
    <row r="204" spans="2:2" x14ac:dyDescent="0.25">
      <c r="B204" s="84"/>
    </row>
    <row r="205" spans="2:2" x14ac:dyDescent="0.25">
      <c r="B205" s="84"/>
    </row>
    <row r="206" spans="2:2" x14ac:dyDescent="0.25">
      <c r="B206" s="84"/>
    </row>
    <row r="207" spans="2:2" x14ac:dyDescent="0.25">
      <c r="B207" s="84"/>
    </row>
    <row r="208" spans="2:2" x14ac:dyDescent="0.25">
      <c r="B208" s="84"/>
    </row>
    <row r="209" spans="2:2" x14ac:dyDescent="0.25">
      <c r="B209" s="84"/>
    </row>
    <row r="210" spans="2:2" x14ac:dyDescent="0.25">
      <c r="B210" s="84"/>
    </row>
    <row r="211" spans="2:2" x14ac:dyDescent="0.25">
      <c r="B211" s="84"/>
    </row>
    <row r="212" spans="2:2" x14ac:dyDescent="0.25">
      <c r="B212" s="84"/>
    </row>
    <row r="213" spans="2:2" x14ac:dyDescent="0.25">
      <c r="B213" s="84"/>
    </row>
    <row r="214" spans="2:2" x14ac:dyDescent="0.25">
      <c r="B214" s="84"/>
    </row>
    <row r="215" spans="2:2" x14ac:dyDescent="0.25">
      <c r="B215" s="84"/>
    </row>
    <row r="216" spans="2:2" x14ac:dyDescent="0.25">
      <c r="B216" s="84"/>
    </row>
    <row r="217" spans="2:2" x14ac:dyDescent="0.25">
      <c r="B217" s="84"/>
    </row>
    <row r="218" spans="2:2" x14ac:dyDescent="0.25">
      <c r="B218" s="84"/>
    </row>
    <row r="219" spans="2:2" x14ac:dyDescent="0.25">
      <c r="B219" s="84"/>
    </row>
    <row r="220" spans="2:2" x14ac:dyDescent="0.25">
      <c r="B220" s="84"/>
    </row>
    <row r="221" spans="2:2" x14ac:dyDescent="0.25">
      <c r="B221" s="84"/>
    </row>
    <row r="222" spans="2:2" x14ac:dyDescent="0.25">
      <c r="B222" s="84"/>
    </row>
    <row r="223" spans="2:2" x14ac:dyDescent="0.25">
      <c r="B223" s="84"/>
    </row>
    <row r="224" spans="2:2" x14ac:dyDescent="0.25">
      <c r="B224" s="84"/>
    </row>
    <row r="225" spans="2:2" x14ac:dyDescent="0.25">
      <c r="B225" s="84"/>
    </row>
    <row r="226" spans="2:2" x14ac:dyDescent="0.25">
      <c r="B226" s="84"/>
    </row>
    <row r="227" spans="2:2" x14ac:dyDescent="0.25">
      <c r="B227" s="84"/>
    </row>
    <row r="228" spans="2:2" x14ac:dyDescent="0.25">
      <c r="B228" s="84"/>
    </row>
    <row r="229" spans="2:2" x14ac:dyDescent="0.25">
      <c r="B229" s="84"/>
    </row>
    <row r="230" spans="2:2" x14ac:dyDescent="0.25">
      <c r="B230" s="84"/>
    </row>
    <row r="231" spans="2:2" x14ac:dyDescent="0.25">
      <c r="B231" s="84"/>
    </row>
    <row r="232" spans="2:2" x14ac:dyDescent="0.25">
      <c r="B232" s="84"/>
    </row>
    <row r="233" spans="2:2" x14ac:dyDescent="0.25">
      <c r="B233" s="84"/>
    </row>
    <row r="234" spans="2:2" x14ac:dyDescent="0.25">
      <c r="B234" s="84"/>
    </row>
    <row r="235" spans="2:2" x14ac:dyDescent="0.25">
      <c r="B235" s="84"/>
    </row>
    <row r="236" spans="2:2" x14ac:dyDescent="0.25">
      <c r="B236" s="84"/>
    </row>
    <row r="237" spans="2:2" x14ac:dyDescent="0.25">
      <c r="B237" s="84"/>
    </row>
    <row r="238" spans="2:2" x14ac:dyDescent="0.25">
      <c r="B238" s="84"/>
    </row>
    <row r="239" spans="2:2" x14ac:dyDescent="0.25">
      <c r="B239" s="84"/>
    </row>
    <row r="240" spans="2:2" x14ac:dyDescent="0.25">
      <c r="B240" s="84"/>
    </row>
    <row r="241" spans="2:2" x14ac:dyDescent="0.25">
      <c r="B241" s="84"/>
    </row>
    <row r="242" spans="2:2" x14ac:dyDescent="0.25">
      <c r="B242" s="84"/>
    </row>
    <row r="243" spans="2:2" x14ac:dyDescent="0.25">
      <c r="B243" s="84"/>
    </row>
    <row r="244" spans="2:2" x14ac:dyDescent="0.25">
      <c r="B244" s="84"/>
    </row>
    <row r="245" spans="2:2" x14ac:dyDescent="0.25">
      <c r="B245" s="84"/>
    </row>
    <row r="246" spans="2:2" x14ac:dyDescent="0.25">
      <c r="B246" s="84"/>
    </row>
    <row r="247" spans="2:2" x14ac:dyDescent="0.25">
      <c r="B247" s="84"/>
    </row>
    <row r="248" spans="2:2" x14ac:dyDescent="0.25">
      <c r="B248" s="84"/>
    </row>
    <row r="249" spans="2:2" x14ac:dyDescent="0.25">
      <c r="B249" s="84"/>
    </row>
    <row r="250" spans="2:2" x14ac:dyDescent="0.25">
      <c r="B250" s="84"/>
    </row>
    <row r="251" spans="2:2" x14ac:dyDescent="0.25">
      <c r="B251" s="84"/>
    </row>
    <row r="252" spans="2:2" x14ac:dyDescent="0.25">
      <c r="B252" s="84"/>
    </row>
    <row r="253" spans="2:2" x14ac:dyDescent="0.25">
      <c r="B253" s="84"/>
    </row>
    <row r="254" spans="2:2" x14ac:dyDescent="0.25">
      <c r="B254" s="84"/>
    </row>
    <row r="255" spans="2:2" x14ac:dyDescent="0.25">
      <c r="B255" s="84"/>
    </row>
    <row r="256" spans="2:2" x14ac:dyDescent="0.25">
      <c r="B256" s="84"/>
    </row>
    <row r="257" spans="2:2" x14ac:dyDescent="0.25">
      <c r="B257" s="84"/>
    </row>
    <row r="258" spans="2:2" x14ac:dyDescent="0.25">
      <c r="B258" s="84"/>
    </row>
    <row r="259" spans="2:2" x14ac:dyDescent="0.25">
      <c r="B259" s="84"/>
    </row>
    <row r="260" spans="2:2" x14ac:dyDescent="0.25">
      <c r="B260" s="84"/>
    </row>
    <row r="261" spans="2:2" x14ac:dyDescent="0.25">
      <c r="B261" s="84"/>
    </row>
    <row r="262" spans="2:2" x14ac:dyDescent="0.25">
      <c r="B262" s="84"/>
    </row>
    <row r="263" spans="2:2" x14ac:dyDescent="0.25">
      <c r="B263" s="84"/>
    </row>
    <row r="264" spans="2:2" x14ac:dyDescent="0.25">
      <c r="B264" s="84"/>
    </row>
    <row r="265" spans="2:2" x14ac:dyDescent="0.25">
      <c r="B265" s="84"/>
    </row>
    <row r="266" spans="2:2" x14ac:dyDescent="0.25">
      <c r="B266" s="84"/>
    </row>
    <row r="267" spans="2:2" x14ac:dyDescent="0.25">
      <c r="B267" s="84"/>
    </row>
    <row r="268" spans="2:2" x14ac:dyDescent="0.25">
      <c r="B268" s="84"/>
    </row>
    <row r="269" spans="2:2" x14ac:dyDescent="0.25">
      <c r="B269" s="84"/>
    </row>
    <row r="270" spans="2:2" x14ac:dyDescent="0.25">
      <c r="B270" s="84"/>
    </row>
    <row r="271" spans="2:2" x14ac:dyDescent="0.25">
      <c r="B271" s="84"/>
    </row>
    <row r="272" spans="2:2" x14ac:dyDescent="0.25">
      <c r="B272" s="84"/>
    </row>
    <row r="273" spans="2:2" x14ac:dyDescent="0.25">
      <c r="B273" s="84"/>
    </row>
    <row r="274" spans="2:2" x14ac:dyDescent="0.25">
      <c r="B274" s="84"/>
    </row>
    <row r="275" spans="2:2" x14ac:dyDescent="0.25">
      <c r="B275" s="84"/>
    </row>
    <row r="276" spans="2:2" x14ac:dyDescent="0.25">
      <c r="B276" s="84"/>
    </row>
    <row r="277" spans="2:2" x14ac:dyDescent="0.25">
      <c r="B277" s="84"/>
    </row>
    <row r="278" spans="2:2" x14ac:dyDescent="0.25">
      <c r="B278" s="84"/>
    </row>
    <row r="279" spans="2:2" x14ac:dyDescent="0.25">
      <c r="B279" s="84"/>
    </row>
    <row r="280" spans="2:2" x14ac:dyDescent="0.25">
      <c r="B280" s="84"/>
    </row>
    <row r="281" spans="2:2" x14ac:dyDescent="0.25">
      <c r="B281" s="84"/>
    </row>
    <row r="282" spans="2:2" x14ac:dyDescent="0.25">
      <c r="B282" s="84"/>
    </row>
    <row r="283" spans="2:2" x14ac:dyDescent="0.25">
      <c r="B283" s="84"/>
    </row>
    <row r="284" spans="2:2" x14ac:dyDescent="0.25">
      <c r="B284" s="84"/>
    </row>
    <row r="285" spans="2:2" x14ac:dyDescent="0.25">
      <c r="B285" s="84"/>
    </row>
    <row r="286" spans="2:2" x14ac:dyDescent="0.25">
      <c r="B286" s="84"/>
    </row>
    <row r="287" spans="2:2" x14ac:dyDescent="0.25">
      <c r="B287" s="84"/>
    </row>
    <row r="288" spans="2:2" x14ac:dyDescent="0.25">
      <c r="B288" s="84"/>
    </row>
    <row r="289" spans="2:2" x14ac:dyDescent="0.25">
      <c r="B289" s="84"/>
    </row>
    <row r="290" spans="2:2" x14ac:dyDescent="0.25">
      <c r="B290" s="84"/>
    </row>
    <row r="291" spans="2:2" x14ac:dyDescent="0.25">
      <c r="B291" s="84"/>
    </row>
    <row r="292" spans="2:2" x14ac:dyDescent="0.25">
      <c r="B292" s="84"/>
    </row>
    <row r="293" spans="2:2" x14ac:dyDescent="0.25">
      <c r="B293" s="84"/>
    </row>
    <row r="294" spans="2:2" x14ac:dyDescent="0.25">
      <c r="B294" s="84"/>
    </row>
    <row r="295" spans="2:2" x14ac:dyDescent="0.25">
      <c r="B295" s="84"/>
    </row>
    <row r="296" spans="2:2" x14ac:dyDescent="0.25">
      <c r="B296" s="84"/>
    </row>
    <row r="297" spans="2:2" x14ac:dyDescent="0.25">
      <c r="B297" s="84"/>
    </row>
    <row r="298" spans="2:2" x14ac:dyDescent="0.25">
      <c r="B298" s="84"/>
    </row>
    <row r="299" spans="2:2" x14ac:dyDescent="0.25">
      <c r="B299" s="84"/>
    </row>
    <row r="300" spans="2:2" x14ac:dyDescent="0.25">
      <c r="B300" s="84"/>
    </row>
    <row r="301" spans="2:2" x14ac:dyDescent="0.25">
      <c r="B301" s="84"/>
    </row>
    <row r="302" spans="2:2" x14ac:dyDescent="0.25">
      <c r="B302" s="84"/>
    </row>
    <row r="303" spans="2:2" x14ac:dyDescent="0.25">
      <c r="B303" s="84"/>
    </row>
    <row r="304" spans="2:2" x14ac:dyDescent="0.25">
      <c r="B304" s="84"/>
    </row>
    <row r="305" spans="2:2" x14ac:dyDescent="0.25">
      <c r="B305" s="84"/>
    </row>
    <row r="306" spans="2:2" x14ac:dyDescent="0.25">
      <c r="B306" s="84"/>
    </row>
    <row r="307" spans="2:2" x14ac:dyDescent="0.25">
      <c r="B307" s="84"/>
    </row>
    <row r="308" spans="2:2" x14ac:dyDescent="0.25">
      <c r="B308" s="84"/>
    </row>
    <row r="309" spans="2:2" x14ac:dyDescent="0.25">
      <c r="B309" s="84"/>
    </row>
    <row r="310" spans="2:2" x14ac:dyDescent="0.25">
      <c r="B310" s="84"/>
    </row>
    <row r="311" spans="2:2" x14ac:dyDescent="0.25">
      <c r="B311" s="84"/>
    </row>
    <row r="312" spans="2:2" x14ac:dyDescent="0.25">
      <c r="B312" s="84"/>
    </row>
    <row r="313" spans="2:2" x14ac:dyDescent="0.25">
      <c r="B313" s="84"/>
    </row>
    <row r="314" spans="2:2" x14ac:dyDescent="0.25">
      <c r="B314" s="84"/>
    </row>
    <row r="315" spans="2:2" x14ac:dyDescent="0.25">
      <c r="B315" s="84"/>
    </row>
    <row r="316" spans="2:2" x14ac:dyDescent="0.25">
      <c r="B316" s="84"/>
    </row>
    <row r="317" spans="2:2" x14ac:dyDescent="0.25">
      <c r="B317" s="84"/>
    </row>
    <row r="318" spans="2:2" x14ac:dyDescent="0.25">
      <c r="B318" s="84"/>
    </row>
    <row r="319" spans="2:2" x14ac:dyDescent="0.25">
      <c r="B319" s="84"/>
    </row>
    <row r="320" spans="2:2" x14ac:dyDescent="0.25">
      <c r="B320" s="84"/>
    </row>
    <row r="321" spans="2:2" x14ac:dyDescent="0.25">
      <c r="B321" s="84"/>
    </row>
    <row r="322" spans="2:2" x14ac:dyDescent="0.25">
      <c r="B322" s="84"/>
    </row>
    <row r="323" spans="2:2" x14ac:dyDescent="0.25">
      <c r="B323" s="84"/>
    </row>
    <row r="324" spans="2:2" x14ac:dyDescent="0.25">
      <c r="B324" s="84"/>
    </row>
    <row r="325" spans="2:2" x14ac:dyDescent="0.25">
      <c r="B325" s="84"/>
    </row>
    <row r="326" spans="2:2" x14ac:dyDescent="0.25">
      <c r="B326" s="84"/>
    </row>
    <row r="327" spans="2:2" x14ac:dyDescent="0.25">
      <c r="B327" s="84"/>
    </row>
    <row r="328" spans="2:2" x14ac:dyDescent="0.25">
      <c r="B328" s="84"/>
    </row>
    <row r="329" spans="2:2" x14ac:dyDescent="0.25">
      <c r="B329" s="84"/>
    </row>
    <row r="330" spans="2:2" x14ac:dyDescent="0.25">
      <c r="B330" s="84"/>
    </row>
    <row r="331" spans="2:2" x14ac:dyDescent="0.25">
      <c r="B331" s="84"/>
    </row>
    <row r="332" spans="2:2" x14ac:dyDescent="0.25">
      <c r="B332" s="84"/>
    </row>
    <row r="333" spans="2:2" x14ac:dyDescent="0.25">
      <c r="B333" s="84"/>
    </row>
    <row r="334" spans="2:2" x14ac:dyDescent="0.25">
      <c r="B334" s="84"/>
    </row>
    <row r="335" spans="2:2" x14ac:dyDescent="0.25">
      <c r="B335" s="84"/>
    </row>
    <row r="336" spans="2:2" x14ac:dyDescent="0.25">
      <c r="B336" s="84"/>
    </row>
    <row r="337" spans="2:2" x14ac:dyDescent="0.25">
      <c r="B337" s="84"/>
    </row>
  </sheetData>
  <mergeCells count="4">
    <mergeCell ref="A1:T1"/>
    <mergeCell ref="A53:R53"/>
    <mergeCell ref="A27:R27"/>
    <mergeCell ref="A79:Q79"/>
  </mergeCells>
  <phoneticPr fontId="7" type="noConversion"/>
  <conditionalFormatting sqref="AG29:XFD51 S28:AF28 S53:AF78 T79:Y123">
    <cfRule type="expression" dxfId="39" priority="17">
      <formula>$N28="On KTR4-2"</formula>
    </cfRule>
  </conditionalFormatting>
  <conditionalFormatting sqref="G82:G99">
    <cfRule type="expression" dxfId="38" priority="2">
      <formula>$O82="On KTR4-2"</formula>
    </cfRule>
  </conditionalFormatting>
  <conditionalFormatting sqref="AG55:XFD77">
    <cfRule type="expression" dxfId="37" priority="18">
      <formula>$N55="On KTR4-1"</formula>
    </cfRule>
  </conditionalFormatting>
  <pageMargins left="0.7" right="0.7" top="0.75" bottom="0.75" header="0.3" footer="0.3"/>
  <pageSetup paperSize="9" scale="10" orientation="landscape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96"/>
  <sheetViews>
    <sheetView zoomScale="77" zoomScaleNormal="88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R2" sqref="R2"/>
    </sheetView>
  </sheetViews>
  <sheetFormatPr defaultColWidth="72.7109375" defaultRowHeight="15" x14ac:dyDescent="0.25"/>
  <cols>
    <col min="1" max="1" width="11.7109375" bestFit="1" customWidth="1"/>
    <col min="2" max="2" width="39.140625" bestFit="1" customWidth="1"/>
    <col min="3" max="3" width="11.28515625" bestFit="1" customWidth="1"/>
    <col min="4" max="4" width="14.28515625" bestFit="1" customWidth="1"/>
    <col min="5" max="5" width="16.140625" bestFit="1" customWidth="1"/>
    <col min="6" max="6" width="23.7109375" bestFit="1" customWidth="1"/>
    <col min="7" max="7" width="26.85546875" bestFit="1" customWidth="1"/>
    <col min="8" max="8" width="12.5703125" bestFit="1" customWidth="1"/>
    <col min="9" max="9" width="21.7109375" bestFit="1" customWidth="1"/>
    <col min="10" max="10" width="10.7109375" bestFit="1" customWidth="1"/>
    <col min="11" max="11" width="28.7109375" customWidth="1"/>
    <col min="12" max="12" width="25.7109375" bestFit="1" customWidth="1"/>
    <col min="13" max="13" width="25.140625" bestFit="1" customWidth="1"/>
    <col min="14" max="14" width="20.5703125" bestFit="1" customWidth="1"/>
    <col min="15" max="16" width="20" bestFit="1" customWidth="1"/>
    <col min="17" max="17" width="27.28515625" bestFit="1" customWidth="1"/>
    <col min="18" max="18" width="27.28515625" style="97" bestFit="1" customWidth="1"/>
    <col min="26" max="26" width="72.7109375" customWidth="1"/>
  </cols>
  <sheetData>
    <row r="1" spans="1:28" s="11" customFormat="1" ht="16.149999999999999" customHeight="1" thickBot="1" x14ac:dyDescent="0.3">
      <c r="A1" s="118" t="s">
        <v>143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</row>
    <row r="2" spans="1:28" s="11" customFormat="1" ht="15.6" customHeight="1" x14ac:dyDescent="0.25">
      <c r="A2" s="59" t="s">
        <v>101</v>
      </c>
      <c r="B2" s="60" t="s">
        <v>119</v>
      </c>
      <c r="C2" s="60" t="s">
        <v>8</v>
      </c>
      <c r="D2" s="60" t="s">
        <v>144</v>
      </c>
      <c r="E2" s="60" t="s">
        <v>106</v>
      </c>
      <c r="F2" s="60" t="s">
        <v>145</v>
      </c>
      <c r="G2" s="60" t="s">
        <v>108</v>
      </c>
      <c r="H2" s="60" t="s">
        <v>146</v>
      </c>
      <c r="I2" s="60" t="s">
        <v>147</v>
      </c>
      <c r="J2" s="61" t="s">
        <v>109</v>
      </c>
      <c r="K2" s="62" t="s">
        <v>110</v>
      </c>
      <c r="L2" s="61" t="s">
        <v>148</v>
      </c>
      <c r="M2" s="60" t="s">
        <v>112</v>
      </c>
      <c r="N2" s="62" t="s">
        <v>149</v>
      </c>
      <c r="O2" s="61" t="s">
        <v>150</v>
      </c>
      <c r="P2" s="61" t="s">
        <v>136</v>
      </c>
      <c r="Q2" s="98" t="s">
        <v>120</v>
      </c>
      <c r="R2" s="70" t="s">
        <v>151</v>
      </c>
    </row>
    <row r="3" spans="1:28" s="11" customFormat="1" ht="15.6" customHeight="1" x14ac:dyDescent="0.25">
      <c r="A3" s="4">
        <v>1</v>
      </c>
      <c r="B3" s="4" t="s">
        <v>10</v>
      </c>
      <c r="C3" s="26"/>
      <c r="D3" s="26"/>
      <c r="E3" s="26"/>
      <c r="F3" s="4">
        <f>Table9[[#This Row],[Order]]</f>
        <v>100000</v>
      </c>
      <c r="G3" s="111">
        <v>46053.791666666664</v>
      </c>
      <c r="H3" s="58">
        <v>2200</v>
      </c>
      <c r="I3" s="58">
        <v>24</v>
      </c>
      <c r="J3" s="5">
        <f>(Table9[[#This Row],[Production Order ]]/Table9[[#This Row],[Speed]])/Table9[[#This Row],[Working Hours]]</f>
        <v>1.8939393939393938</v>
      </c>
      <c r="K3" s="111">
        <f>Table9[[#This Row],[Start Date]]+Table9[[#This Row],[PPT]]</f>
        <v>46055.685606060601</v>
      </c>
      <c r="L3" s="26"/>
      <c r="M3" s="9">
        <f>Table9[[#This Row],[Production Order ]]-Table9[[#This Row],[ Current production ]]</f>
        <v>100000</v>
      </c>
      <c r="N3" s="52"/>
      <c r="O3" s="4">
        <f>_xlfn.XLOOKUP(Table9[[#This Row],[Product ]],Table6[Item Name],Table6[Qty],"Check QTY")</f>
        <v>100000</v>
      </c>
      <c r="P3" s="26"/>
      <c r="Q3" s="4" t="str">
        <f>IFERROR((Table9[[#This Row],[Cups Regrind]]/(Table9[[#This Row],[ Current production ]]+Table9[[#This Row],[Cups Regrind]])),"No Data Entry")</f>
        <v>No Data Entry</v>
      </c>
      <c r="R3" s="4">
        <f>(Table9[[#This Row],[Production Order ]]*6.9*0.99)/1000</f>
        <v>683.1</v>
      </c>
    </row>
    <row r="4" spans="1:28" s="11" customFormat="1" ht="15.6" customHeight="1" x14ac:dyDescent="0.25">
      <c r="A4" s="4">
        <v>2</v>
      </c>
      <c r="B4" s="4" t="s">
        <v>60</v>
      </c>
      <c r="C4" s="26"/>
      <c r="D4" s="26"/>
      <c r="E4" s="26"/>
      <c r="F4" s="4">
        <f>Table9[[#This Row],[Order]]</f>
        <v>125000</v>
      </c>
      <c r="G4" s="111"/>
      <c r="H4" s="58">
        <v>2725</v>
      </c>
      <c r="I4" s="58">
        <v>24</v>
      </c>
      <c r="J4" s="107">
        <f>(Table9[[#This Row],[Production Order ]]/Table9[[#This Row],[Speed]])/Table9[[#This Row],[Working Hours]]</f>
        <v>1.9113149847094801</v>
      </c>
      <c r="K4" s="111"/>
      <c r="L4" s="26"/>
      <c r="M4" s="9">
        <f>Table9[[#This Row],[Production Order ]]-Table9[[#This Row],[ Current production ]]</f>
        <v>125000</v>
      </c>
      <c r="N4" s="52"/>
      <c r="O4" s="4">
        <f>_xlfn.XLOOKUP(Table9[[#This Row],[Product ]],Table6[Item Name],Table6[Qty],"Check QTY")</f>
        <v>125000</v>
      </c>
      <c r="P4" s="26"/>
      <c r="Q4" s="4" t="str">
        <f>IFERROR((Table9[[#This Row],[Cups Regrind]]/(Table9[[#This Row],[ Current production ]]+Table9[[#This Row],[Cups Regrind]])),"No Data Entry")</f>
        <v>No Data Entry</v>
      </c>
      <c r="R4" s="4">
        <f>(Table9[[#This Row],[Production Order ]]*10.2*0.99)/1000</f>
        <v>1262.25</v>
      </c>
    </row>
    <row r="5" spans="1:28" s="11" customFormat="1" ht="15.6" customHeight="1" x14ac:dyDescent="0.25">
      <c r="A5" s="4">
        <v>3</v>
      </c>
      <c r="B5" s="4" t="s">
        <v>62</v>
      </c>
      <c r="C5" s="26"/>
      <c r="D5" s="26"/>
      <c r="E5" s="26"/>
      <c r="F5" s="4">
        <f>Table9[[#This Row],[Order]]</f>
        <v>0</v>
      </c>
      <c r="G5" s="111"/>
      <c r="H5" s="58">
        <v>2500</v>
      </c>
      <c r="I5" s="58">
        <v>24</v>
      </c>
      <c r="J5" s="107">
        <f>(Table9[[#This Row],[Production Order ]]/Table9[[#This Row],[Speed]])/Table9[[#This Row],[Working Hours]]</f>
        <v>0</v>
      </c>
      <c r="K5" s="111"/>
      <c r="L5" s="26"/>
      <c r="M5" s="9">
        <f>Table9[[#This Row],[Production Order ]]-Table9[[#This Row],[ Current production ]]</f>
        <v>0</v>
      </c>
      <c r="N5" s="52"/>
      <c r="O5" s="4">
        <f>_xlfn.XLOOKUP(Table9[[#This Row],[Product ]],Table6[Item Name],Table6[Qty],"Check QTY")</f>
        <v>0</v>
      </c>
      <c r="P5" s="26"/>
      <c r="Q5" s="4" t="str">
        <f>IFERROR((Table9[[#This Row],[Cups Regrind]]/(Table9[[#This Row],[ Current production ]]+Table9[[#This Row],[Cups Regrind]])),"No Data Entry")</f>
        <v>No Data Entry</v>
      </c>
      <c r="R5" s="4">
        <f>(Table9[[#This Row],[Production Order ]]*12.3*0.985)/1000</f>
        <v>0</v>
      </c>
    </row>
    <row r="6" spans="1:28" s="11" customFormat="1" ht="15.6" customHeight="1" x14ac:dyDescent="0.25">
      <c r="A6" s="4">
        <v>4</v>
      </c>
      <c r="B6" s="4" t="s">
        <v>63</v>
      </c>
      <c r="C6" s="26"/>
      <c r="D6" s="26"/>
      <c r="E6" s="26"/>
      <c r="F6" s="4">
        <f>Table9[[#This Row],[Order]]</f>
        <v>12000</v>
      </c>
      <c r="G6" s="111"/>
      <c r="H6" s="58">
        <v>25000</v>
      </c>
      <c r="I6" s="58">
        <v>24</v>
      </c>
      <c r="J6" s="107">
        <f>(Table9[[#This Row],[Production Order ]]/Table9[[#This Row],[Speed]])/Table9[[#This Row],[Working Hours]]</f>
        <v>0.02</v>
      </c>
      <c r="K6" s="111"/>
      <c r="L6" s="26"/>
      <c r="M6" s="9">
        <f>Table9[[#This Row],[Production Order ]]-Table9[[#This Row],[ Current production ]]</f>
        <v>12000</v>
      </c>
      <c r="N6" s="52"/>
      <c r="O6" s="4">
        <f>_xlfn.XLOOKUP(Table9[[#This Row],[Product ]],Table6[Item Name],Table6[Qty],"Check QTY")</f>
        <v>12000</v>
      </c>
      <c r="P6" s="26"/>
      <c r="Q6" s="4" t="str">
        <f>IFERROR((Table9[[#This Row],[Cups Regrind]]/(Table9[[#This Row],[ Current production ]]+Table9[[#This Row],[Cups Regrind]])),"No Data Entry")</f>
        <v>No Data Entry</v>
      </c>
      <c r="R6" s="4">
        <f>(Table9[[#This Row],[Production Order ]]*12.3*0.985)/1000</f>
        <v>145.386</v>
      </c>
    </row>
    <row r="7" spans="1:28" s="11" customFormat="1" ht="15.6" customHeight="1" x14ac:dyDescent="0.25">
      <c r="A7" s="4">
        <v>5</v>
      </c>
      <c r="B7" s="4" t="s">
        <v>64</v>
      </c>
      <c r="C7" s="26"/>
      <c r="D7" s="26"/>
      <c r="E7" s="26"/>
      <c r="F7" s="4">
        <f>Table9[[#This Row],[Order]]</f>
        <v>0</v>
      </c>
      <c r="G7" s="111"/>
      <c r="H7" s="58">
        <v>2500</v>
      </c>
      <c r="I7" s="58">
        <v>24</v>
      </c>
      <c r="J7" s="107">
        <f>(Table9[[#This Row],[Production Order ]]/Table9[[#This Row],[Speed]])/Table9[[#This Row],[Working Hours]]</f>
        <v>0</v>
      </c>
      <c r="K7" s="111"/>
      <c r="L7" s="26"/>
      <c r="M7" s="9">
        <f>Table9[[#This Row],[Production Order ]]-Table9[[#This Row],[ Current production ]]</f>
        <v>0</v>
      </c>
      <c r="N7" s="52"/>
      <c r="O7" s="4">
        <f>_xlfn.XLOOKUP(Table9[[#This Row],[Product ]],Table6[Item Name],Table6[Qty],"Check QTY")</f>
        <v>0</v>
      </c>
      <c r="P7" s="26"/>
      <c r="Q7" s="4" t="str">
        <f>IFERROR((Table9[[#This Row],[Cups Regrind]]/(Table9[[#This Row],[ Current production ]]+Table9[[#This Row],[Cups Regrind]])),"No Data Entry")</f>
        <v>No Data Entry</v>
      </c>
      <c r="R7" s="4">
        <f>(Table9[[#This Row],[Production Order ]]*8.05*0.985)/1000</f>
        <v>0</v>
      </c>
    </row>
    <row r="8" spans="1:28" s="11" customFormat="1" ht="15.6" customHeight="1" x14ac:dyDescent="0.25">
      <c r="A8" s="4">
        <v>6</v>
      </c>
      <c r="B8" s="4" t="s">
        <v>65</v>
      </c>
      <c r="C8" s="26"/>
      <c r="D8" s="26"/>
      <c r="E8" s="26"/>
      <c r="F8" s="4">
        <f>Table9[[#This Row],[Order]]</f>
        <v>7000</v>
      </c>
      <c r="G8" s="111"/>
      <c r="H8" s="58">
        <v>2500</v>
      </c>
      <c r="I8" s="58">
        <v>24</v>
      </c>
      <c r="J8" s="107">
        <f>(Table9[[#This Row],[Production Order ]]/Table9[[#This Row],[Speed]])/Table9[[#This Row],[Working Hours]]</f>
        <v>0.11666666666666665</v>
      </c>
      <c r="K8" s="111"/>
      <c r="L8" s="26"/>
      <c r="M8" s="9">
        <f>Table9[[#This Row],[Production Order ]]-Table9[[#This Row],[ Current production ]]</f>
        <v>7000</v>
      </c>
      <c r="N8" s="52"/>
      <c r="O8" s="4">
        <f>_xlfn.XLOOKUP(Table9[[#This Row],[Product ]],Table6[Item Name],Table6[Qty],"Check QTY")</f>
        <v>7000</v>
      </c>
      <c r="P8" s="26"/>
      <c r="Q8" s="4" t="str">
        <f>IFERROR((Table9[[#This Row],[Cups Regrind]]/(Table9[[#This Row],[ Current production ]]+Table9[[#This Row],[Cups Regrind]])),"No Data Entry")</f>
        <v>No Data Entry</v>
      </c>
      <c r="R8" s="4">
        <f>(Table9[[#This Row],[Production Order ]]*8.05*0.985)/1000</f>
        <v>55.504750000000008</v>
      </c>
    </row>
    <row r="9" spans="1:28" s="11" customFormat="1" ht="15.6" customHeight="1" x14ac:dyDescent="0.25">
      <c r="A9" s="4">
        <v>7</v>
      </c>
      <c r="B9" s="4" t="s">
        <v>66</v>
      </c>
      <c r="C9" s="26"/>
      <c r="D9" s="26"/>
      <c r="E9" s="26"/>
      <c r="F9" s="4">
        <f>Table9[[#This Row],[Order]]</f>
        <v>0</v>
      </c>
      <c r="G9" s="111"/>
      <c r="H9" s="58">
        <v>2700</v>
      </c>
      <c r="I9" s="58">
        <v>24</v>
      </c>
      <c r="J9" s="107">
        <f>(Table9[[#This Row],[Production Order ]]/Table9[[#This Row],[Speed]])/Table9[[#This Row],[Working Hours]]</f>
        <v>0</v>
      </c>
      <c r="K9" s="111"/>
      <c r="L9" s="26"/>
      <c r="M9" s="9">
        <f>Table9[[#This Row],[Production Order ]]-Table9[[#This Row],[ Current production ]]</f>
        <v>0</v>
      </c>
      <c r="N9" s="52"/>
      <c r="O9" s="4">
        <f>_xlfn.XLOOKUP(Table9[[#This Row],[Product ]],Table6[Item Name],Table6[Qty],"Check QTY")</f>
        <v>0</v>
      </c>
      <c r="P9" s="26"/>
      <c r="Q9" s="4" t="str">
        <f>IFERROR((Table9[[#This Row],[Cups Regrind]]/(Table9[[#This Row],[ Current production ]]+Table9[[#This Row],[Cups Regrind]])),"No Data Entry")</f>
        <v>No Data Entry</v>
      </c>
      <c r="R9" s="4">
        <f>(Table9[[#This Row],[Production Order ]]*5.83*0.99)/1000</f>
        <v>0</v>
      </c>
    </row>
    <row r="10" spans="1:28" s="11" customFormat="1" ht="15.6" customHeight="1" x14ac:dyDescent="0.25">
      <c r="A10" s="4">
        <v>8</v>
      </c>
      <c r="B10" s="4" t="s">
        <v>67</v>
      </c>
      <c r="C10" s="26"/>
      <c r="D10" s="26"/>
      <c r="E10" s="26"/>
      <c r="F10" s="4">
        <f>Table9[[#This Row],[Order]]</f>
        <v>0</v>
      </c>
      <c r="G10" s="111"/>
      <c r="H10" s="58">
        <v>2700</v>
      </c>
      <c r="I10" s="58">
        <v>24</v>
      </c>
      <c r="J10" s="107">
        <f>(Table9[[#This Row],[Production Order ]]/Table9[[#This Row],[Speed]])/Table9[[#This Row],[Working Hours]]</f>
        <v>0</v>
      </c>
      <c r="K10" s="111"/>
      <c r="L10" s="26"/>
      <c r="M10" s="9">
        <f>Table9[[#This Row],[Production Order ]]-Table9[[#This Row],[ Current production ]]</f>
        <v>0</v>
      </c>
      <c r="N10" s="52"/>
      <c r="O10" s="4">
        <f>_xlfn.XLOOKUP(Table9[[#This Row],[Product ]],Table6[Item Name],Table6[Qty],"Check QTY")</f>
        <v>0</v>
      </c>
      <c r="P10" s="26"/>
      <c r="Q10" s="4" t="str">
        <f>IFERROR((Table9[[#This Row],[Cups Regrind]]/(Table9[[#This Row],[ Current production ]]+Table9[[#This Row],[Cups Regrind]])),"No Data Entry")</f>
        <v>No Data Entry</v>
      </c>
      <c r="R10" s="4">
        <f>(Table9[[#This Row],[Production Order ]]*5.83*0.99)/1000</f>
        <v>0</v>
      </c>
    </row>
    <row r="11" spans="1:28" s="95" customFormat="1" ht="15.6" customHeight="1" x14ac:dyDescent="0.2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s="11" customFormat="1" ht="16.149999999999999" customHeight="1" thickBot="1" x14ac:dyDescent="0.3">
      <c r="A12" s="118" t="s">
        <v>152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</row>
    <row r="13" spans="1:28" s="11" customFormat="1" ht="15.6" customHeight="1" thickBot="1" x14ac:dyDescent="0.3">
      <c r="A13" s="59" t="s">
        <v>101</v>
      </c>
      <c r="B13" s="60" t="s">
        <v>119</v>
      </c>
      <c r="C13" s="60" t="s">
        <v>8</v>
      </c>
      <c r="D13" s="60" t="s">
        <v>144</v>
      </c>
      <c r="E13" s="60" t="s">
        <v>106</v>
      </c>
      <c r="F13" s="60" t="s">
        <v>145</v>
      </c>
      <c r="G13" s="60" t="s">
        <v>108</v>
      </c>
      <c r="H13" s="60" t="s">
        <v>146</v>
      </c>
      <c r="I13" s="60" t="s">
        <v>147</v>
      </c>
      <c r="J13" s="61" t="s">
        <v>109</v>
      </c>
      <c r="K13" s="62" t="s">
        <v>110</v>
      </c>
      <c r="L13" s="61" t="s">
        <v>148</v>
      </c>
      <c r="M13" s="60" t="s">
        <v>112</v>
      </c>
      <c r="N13" s="62" t="s">
        <v>149</v>
      </c>
      <c r="O13" s="61" t="s">
        <v>150</v>
      </c>
      <c r="P13" s="61" t="s">
        <v>136</v>
      </c>
      <c r="Q13" s="98" t="s">
        <v>120</v>
      </c>
      <c r="R13" s="70" t="s">
        <v>151</v>
      </c>
    </row>
    <row r="14" spans="1:28" s="11" customFormat="1" ht="15.6" customHeight="1" x14ac:dyDescent="0.25">
      <c r="A14" s="63">
        <v>1</v>
      </c>
      <c r="B14" s="64" t="s">
        <v>87</v>
      </c>
      <c r="C14" s="65"/>
      <c r="D14" s="65"/>
      <c r="E14" s="65"/>
      <c r="F14" s="64">
        <f>Table1[[#This Row],[Order]]</f>
        <v>160000</v>
      </c>
      <c r="G14" s="111">
        <v>46053.791666666664</v>
      </c>
      <c r="H14" s="85">
        <v>1150</v>
      </c>
      <c r="I14" s="85">
        <v>24</v>
      </c>
      <c r="J14" s="66">
        <f>(Table1[[#This Row],[Production Order ]]/Table1[[#This Row],[Speed]])/Table1[[#This Row],[Working Hours]]</f>
        <v>5.7971014492753623</v>
      </c>
      <c r="K14" s="111">
        <f>Table1[[#This Row],[Start Date]]+Table1[[#This Row],[PPT]]</f>
        <v>46059.588768115937</v>
      </c>
      <c r="L14" s="65"/>
      <c r="M14" s="64">
        <f>Table1[[#This Row],[Production Order ]]-Table1[[#This Row],[ Current production ]]</f>
        <v>160000</v>
      </c>
      <c r="N14" s="65"/>
      <c r="O14" s="64">
        <f>_xlfn.XLOOKUP(Table1[[#This Row],[Product ]],Table6[Item Name],Table6[Qty],"Check QTY")</f>
        <v>160000</v>
      </c>
      <c r="P14" s="65"/>
      <c r="Q14" s="64" t="str">
        <f>IFERROR((Table1[[#This Row],[Cups Regrind]]/(Table1[[#This Row],[ Current production ]]+Table1[[#This Row],[Cups Regrind]])),"No Data Entry")</f>
        <v>No Data Entry</v>
      </c>
      <c r="R14" s="99">
        <f>(Table1[[#This Row],[Production Order ]]*45*0.99)/1000</f>
        <v>7128</v>
      </c>
    </row>
    <row r="15" spans="1:28" s="11" customFormat="1" ht="15.6" customHeight="1" x14ac:dyDescent="0.25">
      <c r="A15" s="45">
        <v>2</v>
      </c>
      <c r="B15" s="4" t="s">
        <v>58</v>
      </c>
      <c r="C15" s="26"/>
      <c r="D15" s="26"/>
      <c r="E15" s="26"/>
      <c r="F15" s="4">
        <f>Table1[[#This Row],[Order]]</f>
        <v>298000</v>
      </c>
      <c r="G15" s="111"/>
      <c r="H15" s="58">
        <v>580</v>
      </c>
      <c r="I15" s="58">
        <v>24</v>
      </c>
      <c r="J15" s="5">
        <f>(Table1[[#This Row],[Production Order ]]/Table1[[#This Row],[Speed]])/Table1[[#This Row],[Working Hours]]</f>
        <v>21.408045977011493</v>
      </c>
      <c r="K15" s="111"/>
      <c r="L15" s="26"/>
      <c r="M15" s="4">
        <f>Table1[[#This Row],[Production Order ]]-Table1[[#This Row],[ Current production ]]</f>
        <v>298000</v>
      </c>
      <c r="N15" s="26"/>
      <c r="O15" s="4">
        <f>_xlfn.XLOOKUP(Table1[[#This Row],[Product ]],Table6[Item Name],Table6[Qty],"Check QTY")</f>
        <v>298000</v>
      </c>
      <c r="P15" s="26"/>
      <c r="Q15" s="4" t="str">
        <f>IFERROR((Table1[[#This Row],[Cups Regrind]]/(Table1[[#This Row],[ Current production ]]+Table1[[#This Row],[Cups Regrind]])),"No Data Entry")</f>
        <v>No Data Entry</v>
      </c>
      <c r="R15" s="8">
        <f>(Table1[[#This Row],[Production Order ]]*74.65*0.99)/1000</f>
        <v>22023.242999999999</v>
      </c>
    </row>
    <row r="16" spans="1:28" s="11" customFormat="1" ht="15.6" customHeight="1" x14ac:dyDescent="0.25">
      <c r="A16" s="45">
        <v>3</v>
      </c>
      <c r="B16" s="4" t="s">
        <v>89</v>
      </c>
      <c r="C16" s="26"/>
      <c r="D16" s="26"/>
      <c r="E16" s="26"/>
      <c r="F16" s="4">
        <f>Table1[[#This Row],[Order]]</f>
        <v>160000</v>
      </c>
      <c r="G16" s="111"/>
      <c r="H16" s="58">
        <v>500</v>
      </c>
      <c r="I16" s="58">
        <v>24</v>
      </c>
      <c r="J16" s="5">
        <f>(Table1[[#This Row],[Production Order ]]/Table1[[#This Row],[Speed]])/Table1[[#This Row],[Working Hours]]</f>
        <v>13.333333333333334</v>
      </c>
      <c r="K16" s="111"/>
      <c r="L16" s="26"/>
      <c r="M16" s="4">
        <f>Table1[[#This Row],[Production Order ]]-Table1[[#This Row],[ Current production ]]</f>
        <v>160000</v>
      </c>
      <c r="N16" s="26"/>
      <c r="O16" s="4">
        <f>_xlfn.XLOOKUP(Table1[[#This Row],[Product ]],Table6[Item Name],Table6[Qty],"Check QTY")</f>
        <v>160000</v>
      </c>
      <c r="P16" s="26"/>
      <c r="Q16" s="4" t="str">
        <f>IFERROR((Table1[[#This Row],[Cups Regrind]]/(Table1[[#This Row],[ Current production ]]+Table1[[#This Row],[Cups Regrind]])),"No Data Entry")</f>
        <v>No Data Entry</v>
      </c>
      <c r="R16" s="8">
        <f>(Table1[[#This Row],[Production Order ]]*38.1*0.99)/1000</f>
        <v>6035.04</v>
      </c>
    </row>
    <row r="17" spans="1:18" s="11" customFormat="1" ht="15.6" customHeight="1" x14ac:dyDescent="0.25">
      <c r="A17" s="45">
        <v>4</v>
      </c>
      <c r="B17" s="4" t="s">
        <v>91</v>
      </c>
      <c r="C17" s="26"/>
      <c r="D17" s="26"/>
      <c r="E17" s="26"/>
      <c r="F17" s="4">
        <f>Table1[[#This Row],[Order]]</f>
        <v>129000</v>
      </c>
      <c r="G17" s="111"/>
      <c r="H17" s="58">
        <v>1500</v>
      </c>
      <c r="I17" s="58">
        <v>24</v>
      </c>
      <c r="J17" s="5">
        <f>(Table1[[#This Row],[Production Order ]]/Table1[[#This Row],[Speed]])/Table1[[#This Row],[Working Hours]]</f>
        <v>3.5833333333333335</v>
      </c>
      <c r="K17" s="111"/>
      <c r="L17" s="26"/>
      <c r="M17" s="4">
        <f>Table1[[#This Row],[Production Order ]]-Table1[[#This Row],[ Current production ]]</f>
        <v>129000</v>
      </c>
      <c r="N17" s="26"/>
      <c r="O17" s="4">
        <f>_xlfn.XLOOKUP(Table1[[#This Row],[Product ]],Table6[Item Name],Table6[Qty],"Check QTY")</f>
        <v>129000</v>
      </c>
      <c r="P17" s="26"/>
      <c r="Q17" s="4" t="str">
        <f>IFERROR((Table1[[#This Row],[Cups Regrind]]/(Table1[[#This Row],[ Current production ]]+Table1[[#This Row],[Cups Regrind]])),"No Data Entry")</f>
        <v>No Data Entry</v>
      </c>
      <c r="R17" s="8">
        <f>(Table1[[#This Row],[Production Order ]]*14.85*0.99)/1000</f>
        <v>1896.4935</v>
      </c>
    </row>
    <row r="18" spans="1:18" s="11" customFormat="1" ht="15.6" customHeight="1" x14ac:dyDescent="0.25">
      <c r="A18" s="45">
        <v>5</v>
      </c>
      <c r="B18" s="4" t="s">
        <v>90</v>
      </c>
      <c r="C18" s="26"/>
      <c r="D18" s="26"/>
      <c r="E18" s="26"/>
      <c r="F18" s="4">
        <f>Table1[[#This Row],[Order]]</f>
        <v>12000</v>
      </c>
      <c r="G18" s="111"/>
      <c r="H18" s="58">
        <v>500</v>
      </c>
      <c r="I18" s="58">
        <v>24</v>
      </c>
      <c r="J18" s="5">
        <f>(Table1[[#This Row],[Production Order ]]/Table1[[#This Row],[Speed]])/Table1[[#This Row],[Working Hours]]</f>
        <v>1</v>
      </c>
      <c r="K18" s="111"/>
      <c r="L18" s="26"/>
      <c r="M18" s="4">
        <f>Table1[[#This Row],[Production Order ]]-Table1[[#This Row],[ Current production ]]</f>
        <v>12000</v>
      </c>
      <c r="N18" s="26"/>
      <c r="O18" s="4">
        <f>_xlfn.XLOOKUP(Table1[[#This Row],[Product ]],Table6[Item Name],Table6[Qty],"Check QTY")</f>
        <v>12000</v>
      </c>
      <c r="P18" s="26"/>
      <c r="Q18" s="4" t="str">
        <f>IFERROR((Table1[[#This Row],[Cups Regrind]]/(Table1[[#This Row],[ Current production ]]+Table1[[#This Row],[Cups Regrind]])),"No Data Entry")</f>
        <v>No Data Entry</v>
      </c>
      <c r="R18" s="8">
        <f>(Table1[[#This Row],[Production Order ]]*38.1*0.99)/1000</f>
        <v>452.62799999999999</v>
      </c>
    </row>
    <row r="19" spans="1:18" s="11" customFormat="1" ht="15.6" customHeight="1" x14ac:dyDescent="0.25">
      <c r="A19" s="45">
        <v>6</v>
      </c>
      <c r="B19" s="4" t="s">
        <v>92</v>
      </c>
      <c r="C19" s="26"/>
      <c r="D19" s="26"/>
      <c r="E19" s="26"/>
      <c r="F19" s="4">
        <f>Table1[[#This Row],[Order]]</f>
        <v>20000</v>
      </c>
      <c r="G19" s="111"/>
      <c r="H19" s="58">
        <v>1500</v>
      </c>
      <c r="I19" s="58">
        <v>24</v>
      </c>
      <c r="J19" s="5">
        <f>(Table1[[#This Row],[Production Order ]]/Table1[[#This Row],[Speed]])/Table1[[#This Row],[Working Hours]]</f>
        <v>0.55555555555555558</v>
      </c>
      <c r="K19" s="111"/>
      <c r="L19" s="26"/>
      <c r="M19" s="4">
        <f>Table1[[#This Row],[Production Order ]]-Table1[[#This Row],[ Current production ]]</f>
        <v>20000</v>
      </c>
      <c r="N19" s="26"/>
      <c r="O19" s="4">
        <f>_xlfn.XLOOKUP(Table1[[#This Row],[Product ]],Table6[Item Name],Table6[Qty],"Check QTY")</f>
        <v>20000</v>
      </c>
      <c r="P19" s="26"/>
      <c r="Q19" s="4" t="str">
        <f>IFERROR((Table1[[#This Row],[Cups Regrind]]/(Table1[[#This Row],[ Current production ]]+Table1[[#This Row],[Cups Regrind]])),"No Data Entry")</f>
        <v>No Data Entry</v>
      </c>
      <c r="R19" s="8">
        <f>(Table1[[#This Row],[Production Order ]]*14.85*0.99)/1000</f>
        <v>294.02999999999997</v>
      </c>
    </row>
    <row r="20" spans="1:18" s="11" customFormat="1" ht="15.6" customHeight="1" x14ac:dyDescent="0.25">
      <c r="A20" s="45">
        <v>5</v>
      </c>
      <c r="B20" s="4" t="s">
        <v>14</v>
      </c>
      <c r="C20" s="26"/>
      <c r="D20" s="26"/>
      <c r="E20" s="26"/>
      <c r="F20" s="4">
        <f>Table1[[#This Row],[Order]]</f>
        <v>0</v>
      </c>
      <c r="G20" s="111"/>
      <c r="H20" s="58">
        <v>700</v>
      </c>
      <c r="I20" s="58">
        <v>24</v>
      </c>
      <c r="J20" s="5">
        <f>(Table1[[#This Row],[Production Order ]]/Table1[[#This Row],[Speed]])/Table1[[#This Row],[Working Hours]]</f>
        <v>0</v>
      </c>
      <c r="K20" s="111"/>
      <c r="L20" s="26"/>
      <c r="M20" s="4">
        <f>Table1[[#This Row],[Production Order ]]-Table1[[#This Row],[ Current production ]]</f>
        <v>0</v>
      </c>
      <c r="N20" s="26"/>
      <c r="O20" s="4">
        <f>_xlfn.XLOOKUP(Table1[[#This Row],[Product ]],Table6[Item Name],Table6[Qty],"Check QTY")</f>
        <v>0</v>
      </c>
      <c r="P20" s="26"/>
      <c r="Q20" s="4" t="str">
        <f>IFERROR((Table1[[#This Row],[Cups Regrind]]/(Table1[[#This Row],[ Current production ]]+Table1[[#This Row],[Cups Regrind]])),"No Data Entry")</f>
        <v>No Data Entry</v>
      </c>
      <c r="R20" s="8">
        <f>(Table1[[#This Row],[Production Order ]]*38.1*0.99)/1000</f>
        <v>0</v>
      </c>
    </row>
    <row r="21" spans="1:18" s="11" customFormat="1" ht="15.6" customHeight="1" x14ac:dyDescent="0.25">
      <c r="A21" s="45">
        <v>6</v>
      </c>
      <c r="B21" s="4" t="s">
        <v>16</v>
      </c>
      <c r="C21" s="26"/>
      <c r="D21" s="26"/>
      <c r="E21" s="26"/>
      <c r="F21" s="4">
        <f>Table1[[#This Row],[Order]]</f>
        <v>0</v>
      </c>
      <c r="G21" s="111"/>
      <c r="H21" s="58">
        <v>1500</v>
      </c>
      <c r="I21" s="58">
        <v>24</v>
      </c>
      <c r="J21" s="5">
        <f>(Table1[[#This Row],[Production Order ]]/Table1[[#This Row],[Speed]])/Table1[[#This Row],[Working Hours]]</f>
        <v>0</v>
      </c>
      <c r="K21" s="111"/>
      <c r="L21" s="26"/>
      <c r="M21" s="4">
        <f>Table1[[#This Row],[Production Order ]]-Table1[[#This Row],[ Current production ]]</f>
        <v>0</v>
      </c>
      <c r="N21" s="26"/>
      <c r="O21" s="4">
        <f>_xlfn.XLOOKUP(Table1[[#This Row],[Product ]],Table6[Item Name],Table6[Qty],"Check QTY")</f>
        <v>0</v>
      </c>
      <c r="P21" s="26"/>
      <c r="Q21" s="4" t="str">
        <f>IFERROR((Table1[[#This Row],[Cups Regrind]]/(Table1[[#This Row],[ Current production ]]+Table1[[#This Row],[Cups Regrind]])),"No Data Entry")</f>
        <v>No Data Entry</v>
      </c>
      <c r="R21" s="8">
        <f>(Table1[[#This Row],[Production Order ]]*14.85*0.99)/1000</f>
        <v>0</v>
      </c>
    </row>
    <row r="22" spans="1:18" s="11" customFormat="1" ht="15.6" customHeight="1" x14ac:dyDescent="0.25">
      <c r="A22" s="45">
        <v>5</v>
      </c>
      <c r="B22" s="4" t="s">
        <v>13</v>
      </c>
      <c r="C22" s="26"/>
      <c r="D22" s="26"/>
      <c r="E22" s="26"/>
      <c r="F22" s="4">
        <f>Table1[[#This Row],[Order]]</f>
        <v>0</v>
      </c>
      <c r="G22" s="106"/>
      <c r="H22" s="58">
        <v>700</v>
      </c>
      <c r="I22" s="58">
        <v>24</v>
      </c>
      <c r="J22" s="5">
        <f>(Table1[[#This Row],[Production Order ]]/Table1[[#This Row],[Speed]])/Table1[[#This Row],[Working Hours]]</f>
        <v>0</v>
      </c>
      <c r="K22" s="111"/>
      <c r="L22" s="26"/>
      <c r="M22" s="4">
        <f>Table1[[#This Row],[Production Order ]]-Table1[[#This Row],[ Current production ]]</f>
        <v>0</v>
      </c>
      <c r="N22" s="26"/>
      <c r="O22" s="4">
        <f>_xlfn.XLOOKUP(Table1[[#This Row],[Product ]],Table6[Item Name],Table6[Qty],"Check QTY")</f>
        <v>0</v>
      </c>
      <c r="P22" s="26"/>
      <c r="Q22" s="4" t="str">
        <f>IFERROR((Table1[[#This Row],[Cups Regrind]]/(Table1[[#This Row],[ Current production ]]+Table1[[#This Row],[Cups Regrind]])),"No Data Entry")</f>
        <v>No Data Entry</v>
      </c>
      <c r="R22" s="8">
        <f>(Table1[[#This Row],[Production Order ]]*38.1*0.99)/1000</f>
        <v>0</v>
      </c>
    </row>
    <row r="23" spans="1:18" s="11" customFormat="1" ht="15.6" customHeight="1" x14ac:dyDescent="0.25">
      <c r="A23" s="45">
        <v>6</v>
      </c>
      <c r="B23" s="4" t="s">
        <v>15</v>
      </c>
      <c r="C23" s="26"/>
      <c r="D23" s="26"/>
      <c r="E23" s="26"/>
      <c r="F23" s="4">
        <f>Table1[[#This Row],[Order]]</f>
        <v>0</v>
      </c>
      <c r="G23" s="106"/>
      <c r="H23" s="58">
        <v>1500</v>
      </c>
      <c r="I23" s="58">
        <v>24</v>
      </c>
      <c r="J23" s="5">
        <f>(Table1[[#This Row],[Production Order ]]/Table1[[#This Row],[Speed]])/Table1[[#This Row],[Working Hours]]</f>
        <v>0</v>
      </c>
      <c r="K23" s="111"/>
      <c r="L23" s="26"/>
      <c r="M23" s="4">
        <f>Table1[[#This Row],[Production Order ]]-Table1[[#This Row],[ Current production ]]</f>
        <v>0</v>
      </c>
      <c r="N23" s="26"/>
      <c r="O23" s="4">
        <f>_xlfn.XLOOKUP(Table1[[#This Row],[Product ]],Table6[Item Name],Table6[Qty],"Check QTY")</f>
        <v>0</v>
      </c>
      <c r="P23" s="26"/>
      <c r="Q23" s="4" t="str">
        <f>IFERROR((Table1[[#This Row],[Cups Regrind]]/(Table1[[#This Row],[ Current production ]]+Table1[[#This Row],[Cups Regrind]])),"No Data Entry")</f>
        <v>No Data Entry</v>
      </c>
      <c r="R23" s="8">
        <f>(Table1[[#This Row],[Production Order ]]*14.85*0.99)/1000</f>
        <v>0</v>
      </c>
    </row>
    <row r="24" spans="1:18" s="11" customFormat="1" ht="15.6" customHeight="1" x14ac:dyDescent="0.25">
      <c r="A24" s="45">
        <v>7</v>
      </c>
      <c r="B24" s="4" t="s">
        <v>68</v>
      </c>
      <c r="C24" s="26"/>
      <c r="D24" s="26"/>
      <c r="E24" s="26"/>
      <c r="F24" s="4">
        <f>Table1[[#This Row],[Order]]</f>
        <v>51000</v>
      </c>
      <c r="G24" s="106"/>
      <c r="H24" s="58">
        <v>520</v>
      </c>
      <c r="I24" s="58">
        <v>24</v>
      </c>
      <c r="J24" s="5">
        <f>(Table1[[#This Row],[Production Order ]]/Table1[[#This Row],[Speed]])/Table1[[#This Row],[Working Hours]]</f>
        <v>4.0865384615384617</v>
      </c>
      <c r="K24" s="111"/>
      <c r="L24" s="26"/>
      <c r="M24" s="4">
        <f>Table1[[#This Row],[Production Order ]]-Table1[[#This Row],[ Current production ]]</f>
        <v>51000</v>
      </c>
      <c r="N24" s="26"/>
      <c r="O24" s="4">
        <f>_xlfn.XLOOKUP(Table1[[#This Row],[Product ]],Table6[Item Name],Table6[Qty],"Check QTY")</f>
        <v>51000</v>
      </c>
      <c r="P24" s="26"/>
      <c r="Q24" s="4" t="str">
        <f>IFERROR((Table1[[#This Row],[Cups Regrind]]/(Table1[[#This Row],[ Current production ]]+Table1[[#This Row],[Cups Regrind]])),"No Data Entry")</f>
        <v>No Data Entry</v>
      </c>
      <c r="R24" s="8">
        <f>(Table1[[#This Row],[Production Order ]]*133*0.9915)/1000</f>
        <v>6725.3445000000002</v>
      </c>
    </row>
    <row r="25" spans="1:18" s="11" customFormat="1" ht="15.6" customHeight="1" x14ac:dyDescent="0.25">
      <c r="A25" s="45">
        <v>8</v>
      </c>
      <c r="B25" s="4" t="s">
        <v>69</v>
      </c>
      <c r="C25" s="26"/>
      <c r="D25" s="26"/>
      <c r="E25" s="26"/>
      <c r="F25" s="4">
        <f>Table1[[#This Row],[Order]]</f>
        <v>13000</v>
      </c>
      <c r="G25" s="106"/>
      <c r="H25" s="58">
        <v>520</v>
      </c>
      <c r="I25" s="58">
        <v>24</v>
      </c>
      <c r="J25" s="5">
        <f>(Table1[[#This Row],[Production Order ]]/Table1[[#This Row],[Speed]])/Table1[[#This Row],[Working Hours]]</f>
        <v>1.0416666666666667</v>
      </c>
      <c r="K25" s="111"/>
      <c r="L25" s="26"/>
      <c r="M25" s="4">
        <f>Table1[[#This Row],[Production Order ]]-Table1[[#This Row],[ Current production ]]</f>
        <v>13000</v>
      </c>
      <c r="N25" s="26"/>
      <c r="O25" s="4">
        <f>_xlfn.XLOOKUP(Table1[[#This Row],[Product ]],Table6[Item Name],Table6[Qty],"Check QTY")</f>
        <v>13000</v>
      </c>
      <c r="P25" s="26"/>
      <c r="Q25" s="4" t="str">
        <f>IFERROR((Table1[[#This Row],[Cups Regrind]]/(Table1[[#This Row],[ Current production ]]+Table1[[#This Row],[Cups Regrind]])),"No Data Entry")</f>
        <v>No Data Entry</v>
      </c>
      <c r="R25" s="8">
        <f>(Table1[[#This Row],[Production Order ]]*133*0.9915)/1000</f>
        <v>1714.3035</v>
      </c>
    </row>
    <row r="26" spans="1:18" s="11" customFormat="1" ht="15.6" customHeight="1" x14ac:dyDescent="0.25">
      <c r="A26" s="45">
        <v>9</v>
      </c>
      <c r="B26" s="4" t="s">
        <v>70</v>
      </c>
      <c r="C26" s="26"/>
      <c r="D26" s="26"/>
      <c r="E26" s="26"/>
      <c r="F26" s="4">
        <f>Table1[[#This Row],[Order]]</f>
        <v>16000</v>
      </c>
      <c r="G26" s="106"/>
      <c r="H26" s="58">
        <v>520</v>
      </c>
      <c r="I26" s="58">
        <v>24</v>
      </c>
      <c r="J26" s="5">
        <f>(Table1[[#This Row],[Production Order ]]/Table1[[#This Row],[Speed]])/Table1[[#This Row],[Working Hours]]</f>
        <v>1.2820512820512822</v>
      </c>
      <c r="K26" s="111"/>
      <c r="L26" s="26"/>
      <c r="M26" s="4">
        <f>Table1[[#This Row],[Production Order ]]-Table1[[#This Row],[ Current production ]]</f>
        <v>16000</v>
      </c>
      <c r="N26" s="26"/>
      <c r="O26" s="4">
        <f>_xlfn.XLOOKUP(Table1[[#This Row],[Product ]],Table6[Item Name],Table6[Qty],"Check QTY")</f>
        <v>16000</v>
      </c>
      <c r="P26" s="26"/>
      <c r="Q26" s="4" t="str">
        <f>IFERROR((Table1[[#This Row],[Cups Regrind]]/(Table1[[#This Row],[ Current production ]]+Table1[[#This Row],[Cups Regrind]])),"No Data Entry")</f>
        <v>No Data Entry</v>
      </c>
      <c r="R26" s="8">
        <f>(Table1[[#This Row],[Production Order ]]*133*0.9915)/1000</f>
        <v>2109.9119999999998</v>
      </c>
    </row>
    <row r="27" spans="1:18" s="11" customFormat="1" ht="15.6" customHeight="1" x14ac:dyDescent="0.25">
      <c r="A27" s="45">
        <v>10</v>
      </c>
      <c r="B27" s="4" t="s">
        <v>71</v>
      </c>
      <c r="C27" s="26"/>
      <c r="D27" s="26"/>
      <c r="E27" s="26"/>
      <c r="F27" s="4">
        <f>Table1[[#This Row],[Order]]</f>
        <v>34000</v>
      </c>
      <c r="G27" s="106"/>
      <c r="H27" s="58">
        <v>520</v>
      </c>
      <c r="I27" s="58">
        <v>24</v>
      </c>
      <c r="J27" s="5">
        <f>(Table1[[#This Row],[Production Order ]]/Table1[[#This Row],[Speed]])/Table1[[#This Row],[Working Hours]]</f>
        <v>2.7243589743589745</v>
      </c>
      <c r="K27" s="111"/>
      <c r="L27" s="26"/>
      <c r="M27" s="4">
        <f>Table1[[#This Row],[Production Order ]]-Table1[[#This Row],[ Current production ]]</f>
        <v>34000</v>
      </c>
      <c r="N27" s="26"/>
      <c r="O27" s="4">
        <f>_xlfn.XLOOKUP(Table1[[#This Row],[Product ]],Table6[Item Name],Table6[Qty],"Check QTY")</f>
        <v>34000</v>
      </c>
      <c r="P27" s="26"/>
      <c r="Q27" s="4" t="str">
        <f>IFERROR((Table1[[#This Row],[Cups Regrind]]/(Table1[[#This Row],[ Current production ]]+Table1[[#This Row],[Cups Regrind]])),"No Data Entry")</f>
        <v>No Data Entry</v>
      </c>
      <c r="R27" s="8">
        <f>(Table1[[#This Row],[Production Order ]]*133*0.9915)/1000</f>
        <v>4483.5630000000001</v>
      </c>
    </row>
    <row r="28" spans="1:18" s="11" customFormat="1" ht="15.6" customHeight="1" x14ac:dyDescent="0.25">
      <c r="A28" s="45">
        <v>11</v>
      </c>
      <c r="B28" s="4" t="s">
        <v>72</v>
      </c>
      <c r="C28" s="26"/>
      <c r="D28" s="26"/>
      <c r="E28" s="26"/>
      <c r="F28" s="4">
        <f>Table1[[#This Row],[Order]]</f>
        <v>23000</v>
      </c>
      <c r="G28" s="106"/>
      <c r="H28" s="58">
        <v>520</v>
      </c>
      <c r="I28" s="58">
        <v>24</v>
      </c>
      <c r="J28" s="5">
        <f>(Table1[[#This Row],[Production Order ]]/Table1[[#This Row],[Speed]])/Table1[[#This Row],[Working Hours]]</f>
        <v>1.8429487179487181</v>
      </c>
      <c r="K28" s="111"/>
      <c r="L28" s="26"/>
      <c r="M28" s="4">
        <f>Table1[[#This Row],[Production Order ]]-Table1[[#This Row],[ Current production ]]</f>
        <v>23000</v>
      </c>
      <c r="N28" s="26"/>
      <c r="O28" s="4">
        <f>_xlfn.XLOOKUP(Table1[[#This Row],[Product ]],Table6[Item Name],Table6[Qty],"Check QTY")</f>
        <v>23000</v>
      </c>
      <c r="P28" s="26"/>
      <c r="Q28" s="4" t="str">
        <f>IFERROR((Table1[[#This Row],[Cups Regrind]]/(Table1[[#This Row],[ Current production ]]+Table1[[#This Row],[Cups Regrind]])),"No Data Entry")</f>
        <v>No Data Entry</v>
      </c>
      <c r="R28" s="8">
        <f>(Table1[[#This Row],[Production Order ]]*133*0.9915)/1000</f>
        <v>3032.9985000000001</v>
      </c>
    </row>
    <row r="29" spans="1:18" s="11" customFormat="1" ht="15.6" customHeight="1" x14ac:dyDescent="0.25">
      <c r="A29" s="45">
        <v>12</v>
      </c>
      <c r="B29" s="4" t="s">
        <v>73</v>
      </c>
      <c r="C29" s="26"/>
      <c r="D29" s="26"/>
      <c r="E29" s="26"/>
      <c r="F29" s="4">
        <f>Table1[[#This Row],[Order]]</f>
        <v>4000</v>
      </c>
      <c r="G29" s="106"/>
      <c r="H29" s="58">
        <v>520</v>
      </c>
      <c r="I29" s="58">
        <v>24</v>
      </c>
      <c r="J29" s="5">
        <f>(Table1[[#This Row],[Production Order ]]/Table1[[#This Row],[Speed]])/Table1[[#This Row],[Working Hours]]</f>
        <v>0.32051282051282054</v>
      </c>
      <c r="K29" s="111"/>
      <c r="L29" s="26"/>
      <c r="M29" s="4">
        <f>Table1[[#This Row],[Production Order ]]-Table1[[#This Row],[ Current production ]]</f>
        <v>4000</v>
      </c>
      <c r="N29" s="26"/>
      <c r="O29" s="4">
        <f>_xlfn.XLOOKUP(Table1[[#This Row],[Product ]],Table6[Item Name],Table6[Qty],"Check QTY")</f>
        <v>4000</v>
      </c>
      <c r="P29" s="26"/>
      <c r="Q29" s="4" t="str">
        <f>IFERROR((Table1[[#This Row],[Cups Regrind]]/(Table1[[#This Row],[ Current production ]]+Table1[[#This Row],[Cups Regrind]])),"No Data Entry")</f>
        <v>No Data Entry</v>
      </c>
      <c r="R29" s="8">
        <f>(Table1[[#This Row],[Production Order ]]*133*0.9915)/1000</f>
        <v>527.47799999999995</v>
      </c>
    </row>
    <row r="30" spans="1:18" s="11" customFormat="1" ht="15.6" customHeight="1" x14ac:dyDescent="0.25">
      <c r="A30" s="45">
        <v>13</v>
      </c>
      <c r="B30" s="4" t="s">
        <v>74</v>
      </c>
      <c r="C30" s="26"/>
      <c r="D30" s="26"/>
      <c r="E30" s="26"/>
      <c r="F30" s="4">
        <f>Table1[[#This Row],[Order]]</f>
        <v>9000</v>
      </c>
      <c r="G30" s="106"/>
      <c r="H30" s="58">
        <v>520</v>
      </c>
      <c r="I30" s="58">
        <v>24</v>
      </c>
      <c r="J30" s="5">
        <f>(Table1[[#This Row],[Production Order ]]/Table1[[#This Row],[Speed]])/Table1[[#This Row],[Working Hours]]</f>
        <v>0.72115384615384615</v>
      </c>
      <c r="K30" s="111"/>
      <c r="L30" s="26"/>
      <c r="M30" s="4">
        <f>Table1[[#This Row],[Production Order ]]-Table1[[#This Row],[ Current production ]]</f>
        <v>9000</v>
      </c>
      <c r="N30" s="26"/>
      <c r="O30" s="4">
        <f>_xlfn.XLOOKUP(Table1[[#This Row],[Product ]],Table6[Item Name],Table6[Qty],"Check QTY")</f>
        <v>9000</v>
      </c>
      <c r="P30" s="26"/>
      <c r="Q30" s="4" t="str">
        <f>IFERROR((Table1[[#This Row],[Cups Regrind]]/(Table1[[#This Row],[ Current production ]]+Table1[[#This Row],[Cups Regrind]])),"No Data Entry")</f>
        <v>No Data Entry</v>
      </c>
      <c r="R30" s="8">
        <f>(Table1[[#This Row],[Production Order ]]*133*0.9915)/1000</f>
        <v>1186.8254999999999</v>
      </c>
    </row>
    <row r="31" spans="1:18" s="11" customFormat="1" ht="15.6" customHeight="1" x14ac:dyDescent="0.25">
      <c r="A31" s="45">
        <v>14</v>
      </c>
      <c r="B31" s="4" t="s">
        <v>75</v>
      </c>
      <c r="C31" s="26"/>
      <c r="D31" s="26"/>
      <c r="E31" s="26"/>
      <c r="F31" s="4">
        <f>Table1[[#This Row],[Order]]</f>
        <v>28000</v>
      </c>
      <c r="G31" s="106"/>
      <c r="H31" s="58">
        <v>520</v>
      </c>
      <c r="I31" s="58">
        <v>24</v>
      </c>
      <c r="J31" s="5">
        <f>(Table1[[#This Row],[Production Order ]]/Table1[[#This Row],[Speed]])/Table1[[#This Row],[Working Hours]]</f>
        <v>2.2435897435897436</v>
      </c>
      <c r="K31" s="111"/>
      <c r="L31" s="26"/>
      <c r="M31" s="4">
        <f>Table1[[#This Row],[Production Order ]]-Table1[[#This Row],[ Current production ]]</f>
        <v>28000</v>
      </c>
      <c r="N31" s="26"/>
      <c r="O31" s="4">
        <f>_xlfn.XLOOKUP(Table1[[#This Row],[Product ]],Table6[Item Name],Table6[Qty],"Check QTY")</f>
        <v>28000</v>
      </c>
      <c r="P31" s="26"/>
      <c r="Q31" s="4" t="str">
        <f>IFERROR((Table1[[#This Row],[Cups Regrind]]/(Table1[[#This Row],[ Current production ]]+Table1[[#This Row],[Cups Regrind]])),"No Data Entry")</f>
        <v>No Data Entry</v>
      </c>
      <c r="R31" s="8">
        <f>(Table1[[#This Row],[Production Order ]]*133*0.9915)/1000</f>
        <v>3692.346</v>
      </c>
    </row>
    <row r="32" spans="1:18" s="11" customFormat="1" ht="15.6" customHeight="1" x14ac:dyDescent="0.25">
      <c r="A32" s="45">
        <v>15</v>
      </c>
      <c r="B32" s="4" t="s">
        <v>76</v>
      </c>
      <c r="C32" s="26"/>
      <c r="D32" s="26"/>
      <c r="E32" s="26"/>
      <c r="F32" s="4">
        <f>Table1[[#This Row],[Order]]</f>
        <v>3000</v>
      </c>
      <c r="G32" s="106"/>
      <c r="H32" s="58">
        <v>520</v>
      </c>
      <c r="I32" s="58">
        <v>24</v>
      </c>
      <c r="J32" s="5">
        <f>(Table1[[#This Row],[Production Order ]]/Table1[[#This Row],[Speed]])/Table1[[#This Row],[Working Hours]]</f>
        <v>0.24038461538461539</v>
      </c>
      <c r="K32" s="111"/>
      <c r="L32" s="26"/>
      <c r="M32" s="4">
        <f>Table1[[#This Row],[Production Order ]]-Table1[[#This Row],[ Current production ]]</f>
        <v>3000</v>
      </c>
      <c r="N32" s="26"/>
      <c r="O32" s="4">
        <f>_xlfn.XLOOKUP(Table1[[#This Row],[Product ]],Table6[Item Name],Table6[Qty],"Check QTY")</f>
        <v>3000</v>
      </c>
      <c r="P32" s="26"/>
      <c r="Q32" s="4" t="str">
        <f>IFERROR((Table1[[#This Row],[Cups Regrind]]/(Table1[[#This Row],[ Current production ]]+Table1[[#This Row],[Cups Regrind]])),"No Data Entry")</f>
        <v>No Data Entry</v>
      </c>
      <c r="R32" s="8">
        <f>(Table1[[#This Row],[Production Order ]]*133*0.9915)/1000</f>
        <v>395.60849999999999</v>
      </c>
    </row>
    <row r="33" spans="1:28" s="11" customFormat="1" ht="15.6" customHeight="1" x14ac:dyDescent="0.25">
      <c r="A33" s="45">
        <v>16</v>
      </c>
      <c r="B33" s="4" t="s">
        <v>77</v>
      </c>
      <c r="C33" s="26"/>
      <c r="D33" s="26"/>
      <c r="E33" s="26"/>
      <c r="F33" s="4">
        <f>Table1[[#This Row],[Order]]</f>
        <v>4000</v>
      </c>
      <c r="G33" s="106"/>
      <c r="H33" s="58">
        <v>520</v>
      </c>
      <c r="I33" s="58">
        <v>24</v>
      </c>
      <c r="J33" s="5">
        <f>(Table1[[#This Row],[Production Order ]]/Table1[[#This Row],[Speed]])/Table1[[#This Row],[Working Hours]]</f>
        <v>0.32051282051282054</v>
      </c>
      <c r="K33" s="111"/>
      <c r="L33" s="26"/>
      <c r="M33" s="4">
        <f>Table1[[#This Row],[Production Order ]]-Table1[[#This Row],[ Current production ]]</f>
        <v>4000</v>
      </c>
      <c r="N33" s="26"/>
      <c r="O33" s="4">
        <f>_xlfn.XLOOKUP(Table1[[#This Row],[Product ]],Table6[Item Name],Table6[Qty],"Check QTY")</f>
        <v>4000</v>
      </c>
      <c r="P33" s="26"/>
      <c r="Q33" s="4" t="str">
        <f>IFERROR((Table1[[#This Row],[Cups Regrind]]/(Table1[[#This Row],[ Current production ]]+Table1[[#This Row],[Cups Regrind]])),"No Data Entry")</f>
        <v>No Data Entry</v>
      </c>
      <c r="R33" s="8">
        <f>(Table1[[#This Row],[Production Order ]]*133*0.9915)/1000</f>
        <v>527.47799999999995</v>
      </c>
    </row>
    <row r="34" spans="1:28" s="11" customFormat="1" ht="15.6" customHeight="1" x14ac:dyDescent="0.25">
      <c r="A34" s="45">
        <v>17</v>
      </c>
      <c r="B34" s="4" t="s">
        <v>78</v>
      </c>
      <c r="C34" s="26"/>
      <c r="D34" s="26"/>
      <c r="E34" s="26"/>
      <c r="F34" s="4">
        <f>Table1[[#This Row],[Order]]</f>
        <v>2000</v>
      </c>
      <c r="G34" s="106"/>
      <c r="H34" s="58">
        <v>520</v>
      </c>
      <c r="I34" s="58">
        <v>24</v>
      </c>
      <c r="J34" s="5">
        <f>(Table1[[#This Row],[Production Order ]]/Table1[[#This Row],[Speed]])/Table1[[#This Row],[Working Hours]]</f>
        <v>0.16025641025641027</v>
      </c>
      <c r="K34" s="111"/>
      <c r="L34" s="26"/>
      <c r="M34" s="4">
        <f>Table1[[#This Row],[Production Order ]]-Table1[[#This Row],[ Current production ]]</f>
        <v>2000</v>
      </c>
      <c r="N34" s="26"/>
      <c r="O34" s="4">
        <f>_xlfn.XLOOKUP(Table1[[#This Row],[Product ]],Table6[Item Name],Table6[Qty],"Check QTY")</f>
        <v>2000</v>
      </c>
      <c r="P34" s="26"/>
      <c r="Q34" s="4" t="str">
        <f>IFERROR((Table1[[#This Row],[Cups Regrind]]/(Table1[[#This Row],[ Current production ]]+Table1[[#This Row],[Cups Regrind]])),"No Data Entry")</f>
        <v>No Data Entry</v>
      </c>
      <c r="R34" s="8">
        <f>(Table1[[#This Row],[Production Order ]]*133*0.9915)/1000</f>
        <v>263.73899999999998</v>
      </c>
    </row>
    <row r="35" spans="1:28" s="11" customFormat="1" ht="15.6" customHeight="1" x14ac:dyDescent="0.25">
      <c r="A35" s="45">
        <v>18</v>
      </c>
      <c r="B35" s="4" t="s">
        <v>79</v>
      </c>
      <c r="C35" s="26"/>
      <c r="D35" s="26"/>
      <c r="E35" s="26"/>
      <c r="F35" s="4">
        <f>Table1[[#This Row],[Order]]</f>
        <v>8000</v>
      </c>
      <c r="G35" s="106"/>
      <c r="H35" s="58">
        <v>520</v>
      </c>
      <c r="I35" s="58">
        <v>24</v>
      </c>
      <c r="J35" s="5">
        <f>(Table1[[#This Row],[Production Order ]]/Table1[[#This Row],[Speed]])/Table1[[#This Row],[Working Hours]]</f>
        <v>0.64102564102564108</v>
      </c>
      <c r="K35" s="111"/>
      <c r="L35" s="26"/>
      <c r="M35" s="4">
        <f>Table1[[#This Row],[Production Order ]]-Table1[[#This Row],[ Current production ]]</f>
        <v>8000</v>
      </c>
      <c r="N35" s="26"/>
      <c r="O35" s="4">
        <f>_xlfn.XLOOKUP(Table1[[#This Row],[Product ]],Table6[Item Name],Table6[Qty],"Check QTY")</f>
        <v>8000</v>
      </c>
      <c r="P35" s="26"/>
      <c r="Q35" s="4" t="str">
        <f>IFERROR((Table1[[#This Row],[Cups Regrind]]/(Table1[[#This Row],[ Current production ]]+Table1[[#This Row],[Cups Regrind]])),"No Data Entry")</f>
        <v>No Data Entry</v>
      </c>
      <c r="R35" s="8">
        <f>(Table1[[#This Row],[Production Order ]]*133*0.9915)/1000</f>
        <v>1054.9559999999999</v>
      </c>
    </row>
    <row r="36" spans="1:28" s="11" customFormat="1" ht="15.6" customHeight="1" x14ac:dyDescent="0.25">
      <c r="A36" s="45">
        <v>19</v>
      </c>
      <c r="B36" s="4" t="s">
        <v>80</v>
      </c>
      <c r="C36" s="26"/>
      <c r="D36" s="26"/>
      <c r="E36" s="26"/>
      <c r="F36" s="4">
        <f>Table1[[#This Row],[Order]]</f>
        <v>16000</v>
      </c>
      <c r="G36" s="106"/>
      <c r="H36" s="58">
        <v>520</v>
      </c>
      <c r="I36" s="58">
        <v>24</v>
      </c>
      <c r="J36" s="5">
        <f>(Table1[[#This Row],[Production Order ]]/Table1[[#This Row],[Speed]])/Table1[[#This Row],[Working Hours]]</f>
        <v>1.2820512820512822</v>
      </c>
      <c r="K36" s="111"/>
      <c r="L36" s="26"/>
      <c r="M36" s="4">
        <f>Table1[[#This Row],[Production Order ]]-Table1[[#This Row],[ Current production ]]</f>
        <v>16000</v>
      </c>
      <c r="N36" s="26"/>
      <c r="O36" s="4">
        <f>_xlfn.XLOOKUP(Table1[[#This Row],[Product ]],Table6[Item Name],Table6[Qty],"Check QTY")</f>
        <v>16000</v>
      </c>
      <c r="P36" s="26"/>
      <c r="Q36" s="4" t="str">
        <f>IFERROR((Table1[[#This Row],[Cups Regrind]]/(Table1[[#This Row],[ Current production ]]+Table1[[#This Row],[Cups Regrind]])),"No Data Entry")</f>
        <v>No Data Entry</v>
      </c>
      <c r="R36" s="8">
        <f>(Table1[[#This Row],[Production Order ]]*133*0.9915)/1000</f>
        <v>2109.9119999999998</v>
      </c>
    </row>
    <row r="37" spans="1:28" s="11" customFormat="1" ht="15.6" customHeight="1" x14ac:dyDescent="0.25">
      <c r="A37" s="45">
        <v>20</v>
      </c>
      <c r="B37" s="4" t="s">
        <v>81</v>
      </c>
      <c r="C37" s="26"/>
      <c r="D37" s="26"/>
      <c r="E37" s="26"/>
      <c r="F37" s="4">
        <f>Table1[[#This Row],[Order]]</f>
        <v>1000</v>
      </c>
      <c r="G37" s="106"/>
      <c r="H37" s="58">
        <v>520</v>
      </c>
      <c r="I37" s="58">
        <v>24</v>
      </c>
      <c r="J37" s="5">
        <f>(Table1[[#This Row],[Production Order ]]/Table1[[#This Row],[Speed]])/Table1[[#This Row],[Working Hours]]</f>
        <v>8.0128205128205135E-2</v>
      </c>
      <c r="K37" s="111"/>
      <c r="L37" s="26"/>
      <c r="M37" s="4">
        <f>Table1[[#This Row],[Production Order ]]-Table1[[#This Row],[ Current production ]]</f>
        <v>1000</v>
      </c>
      <c r="N37" s="26"/>
      <c r="O37" s="4">
        <f>_xlfn.XLOOKUP(Table1[[#This Row],[Product ]],Table6[Item Name],Table6[Qty],"Check QTY")</f>
        <v>1000</v>
      </c>
      <c r="P37" s="26"/>
      <c r="Q37" s="4" t="str">
        <f>IFERROR((Table1[[#This Row],[Cups Regrind]]/(Table1[[#This Row],[ Current production ]]+Table1[[#This Row],[Cups Regrind]])),"No Data Entry")</f>
        <v>No Data Entry</v>
      </c>
      <c r="R37" s="8">
        <f>(Table1[[#This Row],[Production Order ]]*133*0.9915)/1000</f>
        <v>131.86949999999999</v>
      </c>
    </row>
    <row r="38" spans="1:28" s="11" customFormat="1" ht="15.6" customHeight="1" x14ac:dyDescent="0.25">
      <c r="A38" s="45">
        <v>21</v>
      </c>
      <c r="B38" s="4" t="s">
        <v>82</v>
      </c>
      <c r="C38" s="26"/>
      <c r="D38" s="26"/>
      <c r="E38" s="26"/>
      <c r="F38" s="4">
        <f>Table1[[#This Row],[Order]]</f>
        <v>4000</v>
      </c>
      <c r="G38" s="106"/>
      <c r="H38" s="58">
        <v>520</v>
      </c>
      <c r="I38" s="58">
        <v>24</v>
      </c>
      <c r="J38" s="5">
        <f>(Table1[[#This Row],[Production Order ]]/Table1[[#This Row],[Speed]])/Table1[[#This Row],[Working Hours]]</f>
        <v>0.32051282051282054</v>
      </c>
      <c r="K38" s="111"/>
      <c r="L38" s="26"/>
      <c r="M38" s="4">
        <f>Table1[[#This Row],[Production Order ]]-Table1[[#This Row],[ Current production ]]</f>
        <v>4000</v>
      </c>
      <c r="N38" s="26"/>
      <c r="O38" s="4">
        <f>_xlfn.XLOOKUP(Table1[[#This Row],[Product ]],Table6[Item Name],Table6[Qty],"Check QTY")</f>
        <v>4000</v>
      </c>
      <c r="P38" s="26"/>
      <c r="Q38" s="4" t="str">
        <f>IFERROR((Table1[[#This Row],[Cups Regrind]]/(Table1[[#This Row],[ Current production ]]+Table1[[#This Row],[Cups Regrind]])),"No Data Entry")</f>
        <v>No Data Entry</v>
      </c>
      <c r="R38" s="8">
        <f>(Table1[[#This Row],[Production Order ]]*133*0.9915)/1000</f>
        <v>527.47799999999995</v>
      </c>
    </row>
    <row r="39" spans="1:28" s="11" customFormat="1" ht="15.6" customHeight="1" x14ac:dyDescent="0.25">
      <c r="A39" s="45">
        <v>22</v>
      </c>
      <c r="B39" s="4" t="s">
        <v>83</v>
      </c>
      <c r="C39" s="26"/>
      <c r="D39" s="26"/>
      <c r="E39" s="26"/>
      <c r="F39" s="4">
        <f>Table1[[#This Row],[Order]]</f>
        <v>2000</v>
      </c>
      <c r="G39" s="106"/>
      <c r="H39" s="58">
        <v>520</v>
      </c>
      <c r="I39" s="58">
        <v>24</v>
      </c>
      <c r="J39" s="5">
        <f>(Table1[[#This Row],[Production Order ]]/Table1[[#This Row],[Speed]])/Table1[[#This Row],[Working Hours]]</f>
        <v>0.16025641025641027</v>
      </c>
      <c r="K39" s="111"/>
      <c r="L39" s="26"/>
      <c r="M39" s="4">
        <f>Table1[[#This Row],[Production Order ]]-Table1[[#This Row],[ Current production ]]</f>
        <v>2000</v>
      </c>
      <c r="N39" s="26"/>
      <c r="O39" s="4">
        <f>_xlfn.XLOOKUP(Table1[[#This Row],[Product ]],Table6[Item Name],Table6[Qty],"Check QTY")</f>
        <v>2000</v>
      </c>
      <c r="P39" s="26"/>
      <c r="Q39" s="4" t="str">
        <f>IFERROR((Table1[[#This Row],[Cups Regrind]]/(Table1[[#This Row],[ Current production ]]+Table1[[#This Row],[Cups Regrind]])),"No Data Entry")</f>
        <v>No Data Entry</v>
      </c>
      <c r="R39" s="8">
        <f>(Table1[[#This Row],[Production Order ]]*133*0.9915)/1000</f>
        <v>263.73899999999998</v>
      </c>
    </row>
    <row r="40" spans="1:28" s="11" customFormat="1" ht="15.6" customHeight="1" x14ac:dyDescent="0.25">
      <c r="A40" s="45">
        <v>23</v>
      </c>
      <c r="B40" s="4" t="s">
        <v>84</v>
      </c>
      <c r="C40" s="26"/>
      <c r="D40" s="26"/>
      <c r="E40" s="26"/>
      <c r="F40" s="4">
        <f>Table1[[#This Row],[Order]]</f>
        <v>4000</v>
      </c>
      <c r="G40" s="106"/>
      <c r="H40" s="58">
        <v>520</v>
      </c>
      <c r="I40" s="58">
        <v>24</v>
      </c>
      <c r="J40" s="5">
        <f>(Table1[[#This Row],[Production Order ]]/Table1[[#This Row],[Speed]])/Table1[[#This Row],[Working Hours]]</f>
        <v>0.32051282051282054</v>
      </c>
      <c r="K40" s="111"/>
      <c r="L40" s="26"/>
      <c r="M40" s="4">
        <f>Table1[[#This Row],[Production Order ]]-Table1[[#This Row],[ Current production ]]</f>
        <v>4000</v>
      </c>
      <c r="N40" s="26"/>
      <c r="O40" s="4">
        <f>_xlfn.XLOOKUP(Table1[[#This Row],[Product ]],Table6[Item Name],Table6[Qty],"Check QTY")</f>
        <v>4000</v>
      </c>
      <c r="P40" s="26"/>
      <c r="Q40" s="4" t="str">
        <f>IFERROR((Table1[[#This Row],[Cups Regrind]]/(Table1[[#This Row],[ Current production ]]+Table1[[#This Row],[Cups Regrind]])),"No Data Entry")</f>
        <v>No Data Entry</v>
      </c>
      <c r="R40" s="8">
        <f>(Table1[[#This Row],[Production Order ]]*133*0.9915)/1000</f>
        <v>527.47799999999995</v>
      </c>
    </row>
    <row r="41" spans="1:28" s="11" customFormat="1" ht="15.6" customHeight="1" x14ac:dyDescent="0.25">
      <c r="A41" s="45">
        <v>24</v>
      </c>
      <c r="B41" s="4" t="s">
        <v>85</v>
      </c>
      <c r="C41" s="26"/>
      <c r="D41" s="26"/>
      <c r="E41" s="26"/>
      <c r="F41" s="4">
        <f>Table1[[#This Row],[Order]]</f>
        <v>1000</v>
      </c>
      <c r="G41" s="106"/>
      <c r="H41" s="58">
        <v>520</v>
      </c>
      <c r="I41" s="58">
        <v>24</v>
      </c>
      <c r="J41" s="5">
        <f>(Table1[[#This Row],[Production Order ]]/Table1[[#This Row],[Speed]])/Table1[[#This Row],[Working Hours]]</f>
        <v>8.0128205128205135E-2</v>
      </c>
      <c r="K41" s="111"/>
      <c r="L41" s="26"/>
      <c r="M41" s="4">
        <f>Table1[[#This Row],[Production Order ]]-Table1[[#This Row],[ Current production ]]</f>
        <v>1000</v>
      </c>
      <c r="N41" s="26"/>
      <c r="O41" s="4">
        <f>_xlfn.XLOOKUP(Table1[[#This Row],[Product ]],Table6[Item Name],Table6[Qty],"Check QTY")</f>
        <v>1000</v>
      </c>
      <c r="P41" s="26"/>
      <c r="Q41" s="4" t="str">
        <f>IFERROR((Table1[[#This Row],[Cups Regrind]]/(Table1[[#This Row],[ Current production ]]+Table1[[#This Row],[Cups Regrind]])),"No Data Entry")</f>
        <v>No Data Entry</v>
      </c>
      <c r="R41" s="8">
        <f>(Table1[[#This Row],[Production Order ]]*133*0.9915)/1000</f>
        <v>131.86949999999999</v>
      </c>
    </row>
    <row r="42" spans="1:28" s="11" customFormat="1" ht="16.149999999999999" customHeight="1" thickBot="1" x14ac:dyDescent="0.3">
      <c r="A42" s="46">
        <v>25</v>
      </c>
      <c r="B42" s="6" t="s">
        <v>86</v>
      </c>
      <c r="C42" s="30"/>
      <c r="D42" s="30"/>
      <c r="E42" s="30"/>
      <c r="F42" s="6">
        <f>Table1[[#This Row],[Order]]</f>
        <v>0</v>
      </c>
      <c r="G42" s="108"/>
      <c r="H42" s="86">
        <v>520</v>
      </c>
      <c r="I42" s="86">
        <v>24</v>
      </c>
      <c r="J42" s="7">
        <f>(Table1[[#This Row],[Production Order ]]/Table1[[#This Row],[Speed]])/Table1[[#This Row],[Working Hours]]</f>
        <v>0</v>
      </c>
      <c r="K42" s="111"/>
      <c r="L42" s="30"/>
      <c r="M42" s="6">
        <f>Table1[[#This Row],[Production Order ]]-Table1[[#This Row],[ Current production ]]</f>
        <v>0</v>
      </c>
      <c r="N42" s="30"/>
      <c r="O42" s="6">
        <f>_xlfn.XLOOKUP(Table1[[#This Row],[Product ]],Table6[Item Name],Table6[Qty],"Check QTY")</f>
        <v>0</v>
      </c>
      <c r="P42" s="30"/>
      <c r="Q42" s="6" t="str">
        <f>IFERROR((Table1[[#This Row],[Cups Regrind]]/(Table1[[#This Row],[ Current production ]]+Table1[[#This Row],[Cups Regrind]])),"No Data Entry")</f>
        <v>No Data Entry</v>
      </c>
      <c r="R42" s="10">
        <f>(Table1[[#This Row],[Production Order ]]*133*0.9915)/1000</f>
        <v>0</v>
      </c>
    </row>
    <row r="43" spans="1:28" s="97" customFormat="1" ht="15.6" customHeight="1" x14ac:dyDescent="0.25">
      <c r="O43" s="95"/>
      <c r="P43" s="95"/>
      <c r="Q43" s="95"/>
      <c r="R43" s="95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s="11" customFormat="1" ht="16.149999999999999" customHeight="1" thickBot="1" x14ac:dyDescent="0.3">
      <c r="A44" s="118" t="s">
        <v>153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95"/>
    </row>
    <row r="45" spans="1:28" s="11" customFormat="1" ht="15.6" customHeight="1" thickBot="1" x14ac:dyDescent="0.3">
      <c r="A45" s="59" t="s">
        <v>101</v>
      </c>
      <c r="B45" s="60" t="s">
        <v>119</v>
      </c>
      <c r="C45" s="60" t="s">
        <v>8</v>
      </c>
      <c r="D45" s="60" t="s">
        <v>144</v>
      </c>
      <c r="E45" s="60" t="s">
        <v>106</v>
      </c>
      <c r="F45" s="60" t="s">
        <v>138</v>
      </c>
      <c r="G45" s="60" t="s">
        <v>108</v>
      </c>
      <c r="H45" s="60" t="s">
        <v>146</v>
      </c>
      <c r="I45" s="60" t="s">
        <v>147</v>
      </c>
      <c r="J45" s="61" t="s">
        <v>109</v>
      </c>
      <c r="K45" s="62" t="s">
        <v>110</v>
      </c>
      <c r="L45" s="61" t="s">
        <v>148</v>
      </c>
      <c r="M45" s="60" t="s">
        <v>112</v>
      </c>
      <c r="N45" s="62" t="s">
        <v>150</v>
      </c>
      <c r="O45" s="61" t="s">
        <v>136</v>
      </c>
      <c r="P45" s="61" t="s">
        <v>120</v>
      </c>
      <c r="Q45" s="70" t="s">
        <v>151</v>
      </c>
      <c r="R45" s="95"/>
    </row>
    <row r="46" spans="1:28" s="11" customFormat="1" ht="15.6" customHeight="1" x14ac:dyDescent="0.25">
      <c r="A46" s="63">
        <v>1</v>
      </c>
      <c r="B46" s="64" t="s">
        <v>9</v>
      </c>
      <c r="C46" s="65"/>
      <c r="D46" s="65"/>
      <c r="E46" s="65"/>
      <c r="F46" s="64">
        <f>Table2[[#This Row],[Order]]</f>
        <v>0</v>
      </c>
      <c r="G46" s="111">
        <v>46053.791666666664</v>
      </c>
      <c r="H46" s="85">
        <v>175</v>
      </c>
      <c r="I46" s="85">
        <v>24</v>
      </c>
      <c r="J46" s="66">
        <f>(Table2[[#This Row],[Production Order]]/Table2[[#This Row],[Speed]])/Table2[[#This Row],[Working Hours]]</f>
        <v>0</v>
      </c>
      <c r="K46" s="111">
        <f>Table2[[#This Row],[Start Date]]+Table2[[#This Row],[PPT]]</f>
        <v>46053.791666666664</v>
      </c>
      <c r="L46" s="65"/>
      <c r="M46" s="64">
        <f>IF(F46-L46&lt;0,"Done",F46-L46)</f>
        <v>0</v>
      </c>
      <c r="N46" s="64">
        <f>_xlfn.XLOOKUP(B46,Table6[Item Name],Table6[Qty],"Check QTY")</f>
        <v>0</v>
      </c>
      <c r="O46" s="65"/>
      <c r="P46" s="64" t="str">
        <f>IFERROR((Table2[[#This Row],[Cups Regrind]]/(Table2[[#This Row],[ Current production ]]+Table2[[#This Row],[Cups Regrind]])),"No Data Entry")</f>
        <v>No Data Entry</v>
      </c>
      <c r="Q46" s="101">
        <f>(Table2[[#This Row],[Production Order]]*760*0.99)/1000</f>
        <v>0</v>
      </c>
      <c r="R46" s="95"/>
    </row>
    <row r="47" spans="1:28" s="11" customFormat="1" ht="15.6" customHeight="1" x14ac:dyDescent="0.25">
      <c r="A47" s="45">
        <v>2</v>
      </c>
      <c r="B47" s="4" t="s">
        <v>57</v>
      </c>
      <c r="C47" s="26"/>
      <c r="D47" s="26"/>
      <c r="E47" s="26"/>
      <c r="F47" s="4">
        <f>Table2[[#This Row],[Order]]</f>
        <v>272000</v>
      </c>
      <c r="G47" s="106"/>
      <c r="H47" s="58">
        <v>350</v>
      </c>
      <c r="I47" s="58">
        <v>24</v>
      </c>
      <c r="J47" s="5">
        <f>(Table2[[#This Row],[Production Order]]/Table2[[#This Row],[Speed]])/Table2[[#This Row],[Working Hours]]</f>
        <v>32.38095238095238</v>
      </c>
      <c r="K47" s="111"/>
      <c r="L47" s="26"/>
      <c r="M47" s="4">
        <f>IF(F47-L47&lt;0,"Done",F47-L47)</f>
        <v>272000</v>
      </c>
      <c r="N47" s="4">
        <f>_xlfn.XLOOKUP(B47,Table6[Item Name],Table6[Qty],"Check QTY")</f>
        <v>272000</v>
      </c>
      <c r="O47" s="26"/>
      <c r="P47" s="100" t="str">
        <f>IFERROR((Table2[[#This Row],[Cups Regrind]]/(Table2[[#This Row],[ Current production ]]+Table2[[#This Row],[Cups Regrind]])),"No Data Entry")</f>
        <v>No Data Entry</v>
      </c>
      <c r="Q47" s="102">
        <f>(Table2[[#This Row],[Production Order]]*200*0.992)/1000</f>
        <v>53964.800000000003</v>
      </c>
      <c r="R47" s="95"/>
    </row>
    <row r="48" spans="1:28" s="11" customFormat="1" ht="16.149999999999999" customHeight="1" thickBot="1" x14ac:dyDescent="0.3">
      <c r="A48" s="46">
        <v>3</v>
      </c>
      <c r="B48" s="6" t="s">
        <v>88</v>
      </c>
      <c r="C48" s="30"/>
      <c r="D48" s="30"/>
      <c r="E48" s="30"/>
      <c r="F48" s="6">
        <f>Table2[[#This Row],[Order]]</f>
        <v>12000</v>
      </c>
      <c r="G48" s="108"/>
      <c r="H48" s="86">
        <v>70</v>
      </c>
      <c r="I48" s="86">
        <v>24</v>
      </c>
      <c r="J48" s="7">
        <f>(Table2[[#This Row],[Production Order]]/Table2[[#This Row],[Speed]])/Table2[[#This Row],[Working Hours]]</f>
        <v>7.1428571428571423</v>
      </c>
      <c r="K48" s="111"/>
      <c r="L48" s="30"/>
      <c r="M48" s="6">
        <f>IF(F48-L48&lt;0,"Done",F48-L48)</f>
        <v>12000</v>
      </c>
      <c r="N48" s="6">
        <f>_xlfn.XLOOKUP(B48,Table6[Item Name],Table6[Qty],"Check QTY")</f>
        <v>12000</v>
      </c>
      <c r="O48" s="30"/>
      <c r="P48" s="103" t="str">
        <f>IFERROR((Table2[[#This Row],[Cups Regrind]]/(Table2[[#This Row],[ Current production ]]+Table2[[#This Row],[Cups Regrind]])),"No Data Entry")</f>
        <v>No Data Entry</v>
      </c>
      <c r="Q48" s="104">
        <f>(Table2[[#This Row],[Production Order]]*1340*0.994)/1000</f>
        <v>15983.52</v>
      </c>
      <c r="R48" s="95"/>
    </row>
    <row r="49" spans="1:28" s="95" customFormat="1" ht="15.6" customHeight="1" x14ac:dyDescent="0.25">
      <c r="A49" s="87"/>
      <c r="B49" s="87"/>
      <c r="C49" s="87"/>
      <c r="D49" s="87"/>
      <c r="E49" s="87"/>
      <c r="F49" s="87"/>
      <c r="G49" s="109"/>
      <c r="H49" s="32"/>
      <c r="I49" s="109"/>
      <c r="J49" s="87"/>
      <c r="K49" s="87"/>
      <c r="L49" s="87"/>
      <c r="M49" s="87"/>
      <c r="N49" s="48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16.149999999999999" customHeight="1" thickBot="1" x14ac:dyDescent="0.3">
      <c r="A50" s="119" t="s">
        <v>154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90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15.6" customHeight="1" x14ac:dyDescent="0.25">
      <c r="A51" s="59" t="s">
        <v>101</v>
      </c>
      <c r="B51" s="60" t="s">
        <v>119</v>
      </c>
      <c r="C51" s="60" t="s">
        <v>8</v>
      </c>
      <c r="D51" s="60" t="s">
        <v>144</v>
      </c>
      <c r="E51" s="60" t="s">
        <v>106</v>
      </c>
      <c r="F51" s="60" t="s">
        <v>138</v>
      </c>
      <c r="G51" s="60" t="s">
        <v>108</v>
      </c>
      <c r="H51" s="60" t="s">
        <v>146</v>
      </c>
      <c r="I51" s="60" t="s">
        <v>147</v>
      </c>
      <c r="J51" s="61" t="s">
        <v>109</v>
      </c>
      <c r="K51" s="62" t="s">
        <v>110</v>
      </c>
      <c r="L51" s="61" t="s">
        <v>148</v>
      </c>
      <c r="M51" s="60" t="s">
        <v>112</v>
      </c>
      <c r="N51" s="62" t="s">
        <v>142</v>
      </c>
      <c r="O51" s="61" t="s">
        <v>150</v>
      </c>
      <c r="P51" s="61" t="s">
        <v>136</v>
      </c>
      <c r="Q51" s="92" t="s">
        <v>120</v>
      </c>
      <c r="R51" s="89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15.6" customHeight="1" x14ac:dyDescent="0.25">
      <c r="A52" s="4">
        <v>1</v>
      </c>
      <c r="B52" s="4" t="s">
        <v>42</v>
      </c>
      <c r="C52" s="26"/>
      <c r="D52" s="26"/>
      <c r="E52" s="26"/>
      <c r="F52" s="4">
        <f>Table4[[#This Row],[Order]]</f>
        <v>2000</v>
      </c>
      <c r="G52" s="111">
        <v>46053.791666666664</v>
      </c>
      <c r="H52" s="58">
        <v>750</v>
      </c>
      <c r="I52" s="58">
        <v>8</v>
      </c>
      <c r="J52" s="5">
        <f>(Table4[[#This Row],[Production Order]]/Table4[[#This Row],[Speed]])/Table4[[#This Row],[Working Hours]]</f>
        <v>0.33333333333333331</v>
      </c>
      <c r="K52" s="111">
        <f>Table4[[#This Row],[Start Date]]+Table4[[#This Row],[PPT]]</f>
        <v>46054.125</v>
      </c>
      <c r="L52" s="26"/>
      <c r="M52" s="4">
        <f t="shared" ref="M52:M66" si="0">IF(F52-L52&lt;0,"Done",F52-L52)</f>
        <v>2000</v>
      </c>
      <c r="N52" s="26"/>
      <c r="O52" s="4">
        <f>_xlfn.XLOOKUP(B52,Table6[Item Name],Table6[Qty],"Check QTY")</f>
        <v>2000</v>
      </c>
      <c r="P52" s="26"/>
      <c r="Q52" s="112" t="str">
        <f>IFERROR(Table4[[#This Row],[Cups Regrind]]/(Table4[[#This Row],[ Current production ]]+Table4[[#This Row],[Cups Regrind]]),"No Data Entry")</f>
        <v>No Data Entry</v>
      </c>
      <c r="R52" s="88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15.6" customHeight="1" x14ac:dyDescent="0.25">
      <c r="A53" s="4">
        <v>2</v>
      </c>
      <c r="B53" s="4" t="s">
        <v>43</v>
      </c>
      <c r="C53" s="26"/>
      <c r="D53" s="26"/>
      <c r="E53" s="26"/>
      <c r="F53" s="4">
        <f>Table4[[#This Row],[Order]]</f>
        <v>3000</v>
      </c>
      <c r="G53" s="111"/>
      <c r="H53" s="58">
        <v>750</v>
      </c>
      <c r="I53" s="58">
        <v>8</v>
      </c>
      <c r="J53" s="5">
        <f>(Table4[[#This Row],[Production Order]]/Table4[[#This Row],[Speed]])/Table4[[#This Row],[Working Hours]]</f>
        <v>0.5</v>
      </c>
      <c r="K53" s="111"/>
      <c r="L53" s="26"/>
      <c r="M53" s="4">
        <f t="shared" si="0"/>
        <v>3000</v>
      </c>
      <c r="N53" s="26"/>
      <c r="O53" s="4">
        <f>_xlfn.XLOOKUP(B53,Table6[Item Name],Table6[Qty],"Check QTY")</f>
        <v>3000</v>
      </c>
      <c r="P53" s="26"/>
      <c r="Q53" s="112" t="str">
        <f>IFERROR(Table4[[#This Row],[Cups Regrind]]/(Table4[[#This Row],[ Current production ]]+Table4[[#This Row],[Cups Regrind]]),"No Data Entry")</f>
        <v>No Data Entry</v>
      </c>
      <c r="R53" s="88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15.6" customHeight="1" x14ac:dyDescent="0.25">
      <c r="A54" s="4">
        <v>3</v>
      </c>
      <c r="B54" s="4" t="s">
        <v>44</v>
      </c>
      <c r="C54" s="26"/>
      <c r="D54" s="26"/>
      <c r="E54" s="26"/>
      <c r="F54" s="4">
        <f>Table4[[#This Row],[Order]]</f>
        <v>182000</v>
      </c>
      <c r="G54" s="111"/>
      <c r="H54" s="58">
        <v>750</v>
      </c>
      <c r="I54" s="58">
        <v>8</v>
      </c>
      <c r="J54" s="5">
        <f>(Table4[[#This Row],[Production Order]]/Table4[[#This Row],[Speed]])/Table4[[#This Row],[Working Hours]]</f>
        <v>30.333333333333332</v>
      </c>
      <c r="K54" s="111"/>
      <c r="L54" s="26"/>
      <c r="M54" s="4">
        <f t="shared" si="0"/>
        <v>182000</v>
      </c>
      <c r="N54" s="26"/>
      <c r="O54" s="4">
        <f>_xlfn.XLOOKUP(B54,Table6[Item Name],Table6[Qty],"Check QTY")</f>
        <v>182000</v>
      </c>
      <c r="P54" s="26"/>
      <c r="Q54" s="112" t="str">
        <f>IFERROR(Table4[[#This Row],[Cups Regrind]]/(Table4[[#This Row],[ Current production ]]+Table4[[#This Row],[Cups Regrind]]),"No Data Entry")</f>
        <v>No Data Entry</v>
      </c>
      <c r="R54" s="88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5.6" customHeight="1" x14ac:dyDescent="0.25">
      <c r="A55" s="4">
        <v>4</v>
      </c>
      <c r="B55" s="4" t="s">
        <v>45</v>
      </c>
      <c r="C55" s="26"/>
      <c r="D55" s="26"/>
      <c r="E55" s="26"/>
      <c r="F55" s="4">
        <f>Table4[[#This Row],[Order]]</f>
        <v>31000</v>
      </c>
      <c r="G55" s="111"/>
      <c r="H55" s="58">
        <v>750</v>
      </c>
      <c r="I55" s="58">
        <v>8</v>
      </c>
      <c r="J55" s="5">
        <f>(Table4[[#This Row],[Production Order]]/Table4[[#This Row],[Speed]])/Table4[[#This Row],[Working Hours]]</f>
        <v>5.166666666666667</v>
      </c>
      <c r="K55" s="111"/>
      <c r="L55" s="26"/>
      <c r="M55" s="4">
        <f t="shared" si="0"/>
        <v>31000</v>
      </c>
      <c r="N55" s="26"/>
      <c r="O55" s="4">
        <f>_xlfn.XLOOKUP(B55,Table6[Item Name],Table6[Qty],"Check QTY")</f>
        <v>31000</v>
      </c>
      <c r="P55" s="26"/>
      <c r="Q55" s="112" t="str">
        <f>IFERROR(Table4[[#This Row],[Cups Regrind]]/(Table4[[#This Row],[ Current production ]]+Table4[[#This Row],[Cups Regrind]]),"No Data Entry")</f>
        <v>No Data Entry</v>
      </c>
      <c r="R55" s="88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5.6" customHeight="1" x14ac:dyDescent="0.25">
      <c r="A56" s="4">
        <v>5</v>
      </c>
      <c r="B56" s="4" t="s">
        <v>46</v>
      </c>
      <c r="C56" s="26"/>
      <c r="D56" s="26"/>
      <c r="E56" s="26"/>
      <c r="F56" s="4">
        <f>Table4[[#This Row],[Order]]</f>
        <v>25000</v>
      </c>
      <c r="G56" s="111"/>
      <c r="H56" s="58">
        <v>750</v>
      </c>
      <c r="I56" s="58">
        <v>8</v>
      </c>
      <c r="J56" s="5">
        <f>(Table4[[#This Row],[Production Order]]/Table4[[#This Row],[Speed]])/Table4[[#This Row],[Working Hours]]</f>
        <v>4.166666666666667</v>
      </c>
      <c r="K56" s="111"/>
      <c r="L56" s="26"/>
      <c r="M56" s="4">
        <f t="shared" si="0"/>
        <v>25000</v>
      </c>
      <c r="N56" s="26"/>
      <c r="O56" s="4">
        <f>_xlfn.XLOOKUP(B56,Table6[Item Name],Table6[Qty],"Check QTY")</f>
        <v>25000</v>
      </c>
      <c r="P56" s="26"/>
      <c r="Q56" s="112" t="str">
        <f>IFERROR(Table4[[#This Row],[Cups Regrind]]/(Table4[[#This Row],[ Current production ]]+Table4[[#This Row],[Cups Regrind]]),"No Data Entry")</f>
        <v>No Data Entry</v>
      </c>
      <c r="R56" s="88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15.6" customHeight="1" x14ac:dyDescent="0.25">
      <c r="A57" s="4">
        <v>6</v>
      </c>
      <c r="B57" s="4" t="s">
        <v>47</v>
      </c>
      <c r="C57" s="26"/>
      <c r="D57" s="26"/>
      <c r="E57" s="26"/>
      <c r="F57" s="4">
        <f>Table4[[#This Row],[Order]]</f>
        <v>0</v>
      </c>
      <c r="G57" s="111"/>
      <c r="H57" s="58">
        <v>750</v>
      </c>
      <c r="I57" s="58">
        <v>8</v>
      </c>
      <c r="J57" s="5">
        <f>(Table4[[#This Row],[Production Order]]/Table4[[#This Row],[Speed]])/Table4[[#This Row],[Working Hours]]</f>
        <v>0</v>
      </c>
      <c r="K57" s="111"/>
      <c r="L57" s="26"/>
      <c r="M57" s="4">
        <f t="shared" si="0"/>
        <v>0</v>
      </c>
      <c r="N57" s="26"/>
      <c r="O57" s="4">
        <f>_xlfn.XLOOKUP(B57,Table6[Item Name],Table6[Qty],"Check QTY")</f>
        <v>0</v>
      </c>
      <c r="P57" s="26"/>
      <c r="Q57" s="112" t="str">
        <f>IFERROR(Table4[[#This Row],[Cups Regrind]]/(Table4[[#This Row],[ Current production ]]+Table4[[#This Row],[Cups Regrind]]),"No Data Entry")</f>
        <v>No Data Entry</v>
      </c>
      <c r="R57" s="88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15.6" customHeight="1" x14ac:dyDescent="0.25">
      <c r="A58" s="4">
        <v>7</v>
      </c>
      <c r="B58" s="4" t="s">
        <v>48</v>
      </c>
      <c r="C58" s="26"/>
      <c r="D58" s="26"/>
      <c r="E58" s="26"/>
      <c r="F58" s="4">
        <f>Table4[[#This Row],[Order]]</f>
        <v>1000</v>
      </c>
      <c r="G58" s="111"/>
      <c r="H58" s="58">
        <v>750</v>
      </c>
      <c r="I58" s="58">
        <v>8</v>
      </c>
      <c r="J58" s="5">
        <f>(Table4[[#This Row],[Production Order]]/Table4[[#This Row],[Speed]])/Table4[[#This Row],[Working Hours]]</f>
        <v>0.16666666666666666</v>
      </c>
      <c r="K58" s="111"/>
      <c r="L58" s="26"/>
      <c r="M58" s="4">
        <f t="shared" si="0"/>
        <v>1000</v>
      </c>
      <c r="N58" s="26"/>
      <c r="O58" s="4">
        <f>_xlfn.XLOOKUP(B58,Table6[Item Name],Table6[Qty],"Check QTY")</f>
        <v>1000</v>
      </c>
      <c r="P58" s="26"/>
      <c r="Q58" s="112" t="str">
        <f>IFERROR(Table4[[#This Row],[Cups Regrind]]/(Table4[[#This Row],[ Current production ]]+Table4[[#This Row],[Cups Regrind]]),"No Data Entry")</f>
        <v>No Data Entry</v>
      </c>
      <c r="R58" s="88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15.6" customHeight="1" x14ac:dyDescent="0.25">
      <c r="A59" s="4">
        <v>8</v>
      </c>
      <c r="B59" s="4" t="s">
        <v>49</v>
      </c>
      <c r="C59" s="26"/>
      <c r="D59" s="26"/>
      <c r="E59" s="26"/>
      <c r="F59" s="4">
        <f>Table4[[#This Row],[Order]]</f>
        <v>3000</v>
      </c>
      <c r="G59" s="111"/>
      <c r="H59" s="58">
        <v>750</v>
      </c>
      <c r="I59" s="58">
        <v>8</v>
      </c>
      <c r="J59" s="5">
        <f>(Table4[[#This Row],[Production Order]]/Table4[[#This Row],[Speed]])/Table4[[#This Row],[Working Hours]]</f>
        <v>0.5</v>
      </c>
      <c r="K59" s="111"/>
      <c r="L59" s="26"/>
      <c r="M59" s="4">
        <f t="shared" si="0"/>
        <v>3000</v>
      </c>
      <c r="N59" s="26"/>
      <c r="O59" s="4">
        <f>_xlfn.XLOOKUP(B59,Table6[Item Name],Table6[Qty],"Check QTY")</f>
        <v>3000</v>
      </c>
      <c r="P59" s="26"/>
      <c r="Q59" s="112" t="str">
        <f>IFERROR(Table4[[#This Row],[Cups Regrind]]/(Table4[[#This Row],[ Current production ]]+Table4[[#This Row],[Cups Regrind]]),"No Data Entry")</f>
        <v>No Data Entry</v>
      </c>
      <c r="R59" s="88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15.6" customHeight="1" x14ac:dyDescent="0.25">
      <c r="A60" s="4">
        <v>9</v>
      </c>
      <c r="B60" s="4" t="s">
        <v>50</v>
      </c>
      <c r="C60" s="26"/>
      <c r="D60" s="26"/>
      <c r="E60" s="26"/>
      <c r="F60" s="4">
        <f>Table4[[#This Row],[Order]]</f>
        <v>2000</v>
      </c>
      <c r="G60" s="111"/>
      <c r="H60" s="58">
        <v>750</v>
      </c>
      <c r="I60" s="58">
        <v>8</v>
      </c>
      <c r="J60" s="5">
        <f>(Table4[[#This Row],[Production Order]]/Table4[[#This Row],[Speed]])/Table4[[#This Row],[Working Hours]]</f>
        <v>0.33333333333333331</v>
      </c>
      <c r="K60" s="111"/>
      <c r="L60" s="26"/>
      <c r="M60" s="4">
        <f t="shared" si="0"/>
        <v>2000</v>
      </c>
      <c r="N60" s="26"/>
      <c r="O60" s="4">
        <f>_xlfn.XLOOKUP(B60,Table6[Item Name],Table6[Qty],"Check QTY")</f>
        <v>2000</v>
      </c>
      <c r="P60" s="26"/>
      <c r="Q60" s="112" t="str">
        <f>IFERROR(Table4[[#This Row],[Cups Regrind]]/(Table4[[#This Row],[ Current production ]]+Table4[[#This Row],[Cups Regrind]]),"No Data Entry")</f>
        <v>No Data Entry</v>
      </c>
      <c r="R60" s="88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5.6" customHeight="1" x14ac:dyDescent="0.25">
      <c r="A61" s="4">
        <v>10</v>
      </c>
      <c r="B61" s="4" t="s">
        <v>51</v>
      </c>
      <c r="C61" s="26"/>
      <c r="D61" s="26"/>
      <c r="E61" s="26"/>
      <c r="F61" s="4">
        <f>Table4[[#This Row],[Order]]</f>
        <v>0</v>
      </c>
      <c r="G61" s="111"/>
      <c r="H61" s="58">
        <v>750</v>
      </c>
      <c r="I61" s="58">
        <v>8</v>
      </c>
      <c r="J61" s="5">
        <f>(Table4[[#This Row],[Production Order]]/Table4[[#This Row],[Speed]])/Table4[[#This Row],[Working Hours]]</f>
        <v>0</v>
      </c>
      <c r="K61" s="111"/>
      <c r="L61" s="26"/>
      <c r="M61" s="4">
        <f t="shared" si="0"/>
        <v>0</v>
      </c>
      <c r="N61" s="26"/>
      <c r="O61" s="4">
        <f>_xlfn.XLOOKUP(B61,Table6[Item Name],Table6[Qty],"Check QTY")</f>
        <v>0</v>
      </c>
      <c r="P61" s="26"/>
      <c r="Q61" s="112" t="str">
        <f>IFERROR(Table4[[#This Row],[Cups Regrind]]/(Table4[[#This Row],[ Current production ]]+Table4[[#This Row],[Cups Regrind]]),"No Data Entry")</f>
        <v>No Data Entry</v>
      </c>
      <c r="R61" s="88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15.6" customHeight="1" x14ac:dyDescent="0.25">
      <c r="A62" s="4">
        <v>11</v>
      </c>
      <c r="B62" s="4" t="s">
        <v>52</v>
      </c>
      <c r="C62" s="26"/>
      <c r="D62" s="26"/>
      <c r="E62" s="26"/>
      <c r="F62" s="4">
        <f>Table4[[#This Row],[Order]]</f>
        <v>0</v>
      </c>
      <c r="G62" s="111"/>
      <c r="H62" s="58">
        <v>750</v>
      </c>
      <c r="I62" s="58">
        <v>8</v>
      </c>
      <c r="J62" s="5">
        <f>(Table4[[#This Row],[Production Order]]/Table4[[#This Row],[Speed]])/Table4[[#This Row],[Working Hours]]</f>
        <v>0</v>
      </c>
      <c r="K62" s="111"/>
      <c r="L62" s="26"/>
      <c r="M62" s="4">
        <f t="shared" si="0"/>
        <v>0</v>
      </c>
      <c r="N62" s="26"/>
      <c r="O62" s="4">
        <f>_xlfn.XLOOKUP(B62,Table6[Item Name],Table6[Qty],"Check QTY")</f>
        <v>0</v>
      </c>
      <c r="P62" s="26"/>
      <c r="Q62" s="112" t="str">
        <f>IFERROR(Table4[[#This Row],[Cups Regrind]]/(Table4[[#This Row],[ Current production ]]+Table4[[#This Row],[Cups Regrind]]),"No Data Entry")</f>
        <v>No Data Entry</v>
      </c>
      <c r="R62" s="88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15.6" customHeight="1" x14ac:dyDescent="0.25">
      <c r="A63" s="4">
        <v>12</v>
      </c>
      <c r="B63" s="4" t="s">
        <v>53</v>
      </c>
      <c r="C63" s="26"/>
      <c r="D63" s="26"/>
      <c r="E63" s="26"/>
      <c r="F63" s="4">
        <f>Table4[[#This Row],[Order]]</f>
        <v>4000</v>
      </c>
      <c r="G63" s="111"/>
      <c r="H63" s="58">
        <v>750</v>
      </c>
      <c r="I63" s="58">
        <v>8</v>
      </c>
      <c r="J63" s="5">
        <f>(Table4[[#This Row],[Production Order]]/Table4[[#This Row],[Speed]])/Table4[[#This Row],[Working Hours]]</f>
        <v>0.66666666666666663</v>
      </c>
      <c r="K63" s="111"/>
      <c r="L63" s="26"/>
      <c r="M63" s="4">
        <f t="shared" si="0"/>
        <v>4000</v>
      </c>
      <c r="N63" s="26"/>
      <c r="O63" s="4">
        <f>_xlfn.XLOOKUP(B63,Table6[Item Name],Table6[Qty],"Check QTY")</f>
        <v>4000</v>
      </c>
      <c r="P63" s="26"/>
      <c r="Q63" s="112" t="str">
        <f>IFERROR(Table4[[#This Row],[Cups Regrind]]/(Table4[[#This Row],[ Current production ]]+Table4[[#This Row],[Cups Regrind]]),"No Data Entry")</f>
        <v>No Data Entry</v>
      </c>
      <c r="R63" s="88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15.6" customHeight="1" x14ac:dyDescent="0.25">
      <c r="A64" s="4">
        <v>13</v>
      </c>
      <c r="B64" s="4" t="s">
        <v>54</v>
      </c>
      <c r="C64" s="26"/>
      <c r="D64" s="26"/>
      <c r="E64" s="26"/>
      <c r="F64" s="4">
        <f>Table4[[#This Row],[Order]]</f>
        <v>4000</v>
      </c>
      <c r="G64" s="111"/>
      <c r="H64" s="58">
        <v>750</v>
      </c>
      <c r="I64" s="58">
        <v>8</v>
      </c>
      <c r="J64" s="5">
        <f>(Table4[[#This Row],[Production Order]]/Table4[[#This Row],[Speed]])/Table4[[#This Row],[Working Hours]]</f>
        <v>0.66666666666666663</v>
      </c>
      <c r="K64" s="111"/>
      <c r="L64" s="26"/>
      <c r="M64" s="4">
        <f t="shared" si="0"/>
        <v>4000</v>
      </c>
      <c r="N64" s="26"/>
      <c r="O64" s="4">
        <f>_xlfn.XLOOKUP(B64,Table6[Item Name],Table6[Qty],"Check QTY")</f>
        <v>4000</v>
      </c>
      <c r="P64" s="26"/>
      <c r="Q64" s="112" t="str">
        <f>IFERROR(Table4[[#This Row],[Cups Regrind]]/(Table4[[#This Row],[ Current production ]]+Table4[[#This Row],[Cups Regrind]]),"No Data Entry")</f>
        <v>No Data Entry</v>
      </c>
      <c r="R64" s="88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15.6" customHeight="1" x14ac:dyDescent="0.25">
      <c r="A65" s="4">
        <v>14</v>
      </c>
      <c r="B65" s="4" t="s">
        <v>55</v>
      </c>
      <c r="C65" s="26"/>
      <c r="D65" s="26"/>
      <c r="E65" s="26"/>
      <c r="F65" s="4">
        <f>Table4[[#This Row],[Order]]</f>
        <v>13000</v>
      </c>
      <c r="G65" s="111"/>
      <c r="H65" s="58">
        <v>750</v>
      </c>
      <c r="I65" s="58">
        <v>8</v>
      </c>
      <c r="J65" s="5">
        <f>(Table4[[#This Row],[Production Order]]/Table4[[#This Row],[Speed]])/Table4[[#This Row],[Working Hours]]</f>
        <v>2.1666666666666665</v>
      </c>
      <c r="K65" s="111"/>
      <c r="L65" s="26"/>
      <c r="M65" s="4">
        <f t="shared" si="0"/>
        <v>13000</v>
      </c>
      <c r="N65" s="26"/>
      <c r="O65" s="4">
        <f>_xlfn.XLOOKUP(B65,Table6[Item Name],Table6[Qty],"Check QTY")</f>
        <v>13000</v>
      </c>
      <c r="P65" s="26"/>
      <c r="Q65" s="112" t="str">
        <f>IFERROR(Table4[[#This Row],[Cups Regrind]]/(Table4[[#This Row],[ Current production ]]+Table4[[#This Row],[Cups Regrind]]),"No Data Entry")</f>
        <v>No Data Entry</v>
      </c>
      <c r="R65" s="88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16.149999999999999" customHeight="1" x14ac:dyDescent="0.25">
      <c r="A66" s="4">
        <v>15</v>
      </c>
      <c r="B66" s="4" t="s">
        <v>56</v>
      </c>
      <c r="C66" s="26"/>
      <c r="D66" s="26"/>
      <c r="E66" s="26"/>
      <c r="F66" s="4">
        <f>Table4[[#This Row],[Order]]</f>
        <v>1000</v>
      </c>
      <c r="G66" s="111"/>
      <c r="H66" s="58">
        <v>750</v>
      </c>
      <c r="I66" s="58">
        <v>8</v>
      </c>
      <c r="J66" s="5">
        <f>(Table4[[#This Row],[Production Order]]/Table4[[#This Row],[Speed]])/Table4[[#This Row],[Working Hours]]</f>
        <v>0.16666666666666666</v>
      </c>
      <c r="K66" s="111"/>
      <c r="L66" s="26"/>
      <c r="M66" s="4">
        <f t="shared" si="0"/>
        <v>1000</v>
      </c>
      <c r="N66" s="26"/>
      <c r="O66" s="4">
        <f>_xlfn.XLOOKUP(B66,Table6[Item Name],Table6[Qty],"Check QTY")</f>
        <v>1000</v>
      </c>
      <c r="P66" s="26"/>
      <c r="Q66" s="112" t="str">
        <f>IFERROR(Table4[[#This Row],[Cups Regrind]]/(Table4[[#This Row],[ Current production ]]+Table4[[#This Row],[Cups Regrind]]),"No Data Entry")</f>
        <v>No Data Entry</v>
      </c>
      <c r="R66" s="88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s="97" customFormat="1" ht="15.6" customHeight="1" x14ac:dyDescent="0.25"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16.149999999999999" customHeight="1" thickBot="1" x14ac:dyDescent="0.3">
      <c r="A68" s="119" t="s">
        <v>155</v>
      </c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90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15.6" customHeight="1" thickBot="1" x14ac:dyDescent="0.3">
      <c r="A69" s="22" t="s">
        <v>101</v>
      </c>
      <c r="B69" s="23" t="s">
        <v>119</v>
      </c>
      <c r="C69" s="23" t="s">
        <v>8</v>
      </c>
      <c r="D69" s="23" t="s">
        <v>144</v>
      </c>
      <c r="E69" s="23" t="s">
        <v>106</v>
      </c>
      <c r="F69" s="23" t="s">
        <v>138</v>
      </c>
      <c r="G69" s="23" t="s">
        <v>156</v>
      </c>
      <c r="H69" s="60" t="s">
        <v>146</v>
      </c>
      <c r="I69" s="60" t="s">
        <v>147</v>
      </c>
      <c r="J69" s="24" t="s">
        <v>109</v>
      </c>
      <c r="K69" s="25" t="s">
        <v>110</v>
      </c>
      <c r="L69" s="24" t="s">
        <v>148</v>
      </c>
      <c r="M69" s="23" t="s">
        <v>112</v>
      </c>
      <c r="N69" s="25" t="s">
        <v>157</v>
      </c>
      <c r="O69" s="24" t="s">
        <v>150</v>
      </c>
      <c r="P69" s="24" t="s">
        <v>136</v>
      </c>
      <c r="Q69" s="93" t="s">
        <v>120</v>
      </c>
      <c r="R69" s="89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15.6" customHeight="1" x14ac:dyDescent="0.25">
      <c r="A70" s="43">
        <v>1</v>
      </c>
      <c r="B70" s="15" t="s">
        <v>97</v>
      </c>
      <c r="C70" s="41"/>
      <c r="D70" s="41"/>
      <c r="E70" s="41"/>
      <c r="F70" s="3">
        <f>Table10[[#This Row],[Order]]</f>
        <v>53000</v>
      </c>
      <c r="G70" s="111">
        <v>46053.791666666664</v>
      </c>
      <c r="H70" s="85">
        <v>2300</v>
      </c>
      <c r="I70" s="85">
        <v>8</v>
      </c>
      <c r="J70" s="49">
        <f>(Table10[[#This Row],[Production Order]]/Table10[[#This Row],[Speed]])/Table10[[#This Row],[Working Hours]]</f>
        <v>2.8804347826086958</v>
      </c>
      <c r="K70" s="111">
        <f>Table10[[#This Row],[Starting Date]]+Table10[[#This Row],[PPT]]</f>
        <v>46056.672101449272</v>
      </c>
      <c r="L70" s="41"/>
      <c r="M70" s="3">
        <f t="shared" ref="M70:M76" si="1">IF(F70-L70&lt;0,"Done",F70-L70)</f>
        <v>53000</v>
      </c>
      <c r="N70" s="41"/>
      <c r="O70" s="3">
        <f>_xlfn.XLOOKUP(Table10[[#This Row],[Product ]],Table6[Item Name],Table6[Qty],"Check QTY")</f>
        <v>53000</v>
      </c>
      <c r="P70" s="50"/>
      <c r="Q70" s="42" t="str">
        <f>IFERROR(Table10[[#This Row],[Cups Regrind]]/(Table10[[#This Row],[ Current production ]]+Table10[[#This Row],[Cups Regrind]]),"No Data Entry")</f>
        <v>No Data Entry</v>
      </c>
      <c r="R70" s="87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15.6" customHeight="1" x14ac:dyDescent="0.25">
      <c r="A71" s="45">
        <v>2</v>
      </c>
      <c r="B71" s="16" t="s">
        <v>98</v>
      </c>
      <c r="C71" s="26"/>
      <c r="D71" s="26"/>
      <c r="E71" s="26"/>
      <c r="F71" s="4">
        <f>Table10[[#This Row],[Order]]</f>
        <v>19000</v>
      </c>
      <c r="G71" s="106"/>
      <c r="H71" s="58">
        <v>2400</v>
      </c>
      <c r="I71" s="58">
        <v>8</v>
      </c>
      <c r="J71" s="49">
        <f>(Table10[[#This Row],[Production Order]]/Table10[[#This Row],[Speed]])/Table10[[#This Row],[Working Hours]]</f>
        <v>0.98958333333333337</v>
      </c>
      <c r="K71" s="111"/>
      <c r="L71" s="26"/>
      <c r="M71" s="4">
        <f t="shared" si="1"/>
        <v>19000</v>
      </c>
      <c r="N71" s="26"/>
      <c r="O71" s="4">
        <f>_xlfn.XLOOKUP(Table10[[#This Row],[Product ]],Table6[Item Name],Table6[Qty],"Check QTY")</f>
        <v>19000</v>
      </c>
      <c r="P71" s="44"/>
      <c r="Q71" s="42" t="str">
        <f>IFERROR(Table10[[#This Row],[Cups Regrind]]/(Table10[[#This Row],[ Current production ]]+Table10[[#This Row],[Cups Regrind]]),"No Data Entry")</f>
        <v>No Data Entry</v>
      </c>
      <c r="R71" s="87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15.6" customHeight="1" x14ac:dyDescent="0.25">
      <c r="A72" s="45">
        <v>3</v>
      </c>
      <c r="B72" s="16" t="s">
        <v>99</v>
      </c>
      <c r="C72" s="26"/>
      <c r="D72" s="26"/>
      <c r="E72" s="26"/>
      <c r="F72" s="4">
        <f>Table10[[#This Row],[Order]]</f>
        <v>1462000</v>
      </c>
      <c r="G72" s="106"/>
      <c r="H72" s="58">
        <v>3000</v>
      </c>
      <c r="I72" s="58">
        <v>8</v>
      </c>
      <c r="J72" s="49">
        <f>(Table10[[#This Row],[Production Order]]/Table10[[#This Row],[Speed]])/Table10[[#This Row],[Working Hours]]</f>
        <v>60.916666666666664</v>
      </c>
      <c r="K72" s="111"/>
      <c r="L72" s="26"/>
      <c r="M72" s="4">
        <f t="shared" si="1"/>
        <v>1462000</v>
      </c>
      <c r="N72" s="26"/>
      <c r="O72" s="4">
        <f>_xlfn.XLOOKUP(Table10[[#This Row],[Product ]],Table6[Item Name],Table6[Qty],"Check QTY")</f>
        <v>1462000</v>
      </c>
      <c r="P72" s="44"/>
      <c r="Q72" s="42" t="str">
        <f>IFERROR(Table10[[#This Row],[Cups Regrind]]/(Table10[[#This Row],[ Current production ]]+Table10[[#This Row],[Cups Regrind]]),"No Data Entry")</f>
        <v>No Data Entry</v>
      </c>
      <c r="R72" s="87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5.6" customHeight="1" x14ac:dyDescent="0.25">
      <c r="A73" s="45">
        <v>4</v>
      </c>
      <c r="B73" s="16" t="s">
        <v>94</v>
      </c>
      <c r="C73" s="26"/>
      <c r="D73" s="26"/>
      <c r="E73" s="26"/>
      <c r="F73" s="4">
        <f>Table10[[#This Row],[Order]]</f>
        <v>38000</v>
      </c>
      <c r="G73" s="106"/>
      <c r="H73" s="58">
        <v>2650</v>
      </c>
      <c r="I73" s="58">
        <v>8</v>
      </c>
      <c r="J73" s="49">
        <f>(Table10[[#This Row],[Production Order]]/Table10[[#This Row],[Speed]])/Table10[[#This Row],[Working Hours]]</f>
        <v>1.7924528301886793</v>
      </c>
      <c r="K73" s="111"/>
      <c r="L73" s="26"/>
      <c r="M73" s="4">
        <f t="shared" si="1"/>
        <v>38000</v>
      </c>
      <c r="N73" s="26"/>
      <c r="O73" s="4">
        <f>_xlfn.XLOOKUP(Table10[[#This Row],[Product ]],Table6[Item Name],Table6[Qty],"Check QTY")</f>
        <v>38000</v>
      </c>
      <c r="P73" s="44"/>
      <c r="Q73" s="42" t="str">
        <f>IFERROR(Table10[[#This Row],[Cups Regrind]]/(Table10[[#This Row],[ Current production ]]+Table10[[#This Row],[Cups Regrind]]),"No Data Entry")</f>
        <v>No Data Entry</v>
      </c>
      <c r="R73" s="87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15.6" customHeight="1" x14ac:dyDescent="0.25">
      <c r="A74" s="45">
        <v>7</v>
      </c>
      <c r="B74" s="16" t="s">
        <v>95</v>
      </c>
      <c r="C74" s="26"/>
      <c r="D74" s="26"/>
      <c r="E74" s="26"/>
      <c r="F74" s="4">
        <f>Table10[[#This Row],[Order]]</f>
        <v>841000</v>
      </c>
      <c r="G74" s="106"/>
      <c r="H74" s="58">
        <v>3000</v>
      </c>
      <c r="I74" s="58">
        <v>8</v>
      </c>
      <c r="J74" s="49">
        <f>(Table10[[#This Row],[Production Order]]/Table10[[#This Row],[Speed]])/Table10[[#This Row],[Working Hours]]</f>
        <v>35.041666666666664</v>
      </c>
      <c r="K74" s="111"/>
      <c r="L74" s="26"/>
      <c r="M74" s="4">
        <f t="shared" si="1"/>
        <v>841000</v>
      </c>
      <c r="N74" s="26"/>
      <c r="O74" s="4">
        <f>_xlfn.XLOOKUP(Table10[[#This Row],[Product ]],Table6[Item Name],Table6[Qty],"Check QTY")</f>
        <v>841000</v>
      </c>
      <c r="P74" s="44"/>
      <c r="Q74" s="42" t="str">
        <f>IFERROR(Table10[[#This Row],[Cups Regrind]]/(Table10[[#This Row],[ Current production ]]+Table10[[#This Row],[Cups Regrind]]),"No Data Entry")</f>
        <v>No Data Entry</v>
      </c>
      <c r="R74" s="87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15.6" customHeight="1" x14ac:dyDescent="0.25">
      <c r="A75" s="45">
        <v>6</v>
      </c>
      <c r="B75" s="16" t="s">
        <v>96</v>
      </c>
      <c r="C75" s="26"/>
      <c r="D75" s="26"/>
      <c r="E75" s="26"/>
      <c r="F75" s="4">
        <f>Table10[[#This Row],[Order]]</f>
        <v>566000</v>
      </c>
      <c r="G75" s="106"/>
      <c r="H75" s="58">
        <v>3000</v>
      </c>
      <c r="I75" s="58">
        <v>8</v>
      </c>
      <c r="J75" s="49">
        <f>(Table10[[#This Row],[Production Order]]/Table10[[#This Row],[Speed]])/Table10[[#This Row],[Working Hours]]</f>
        <v>23.583333333333332</v>
      </c>
      <c r="K75" s="111"/>
      <c r="L75" s="26"/>
      <c r="M75" s="4">
        <f t="shared" si="1"/>
        <v>566000</v>
      </c>
      <c r="N75" s="26"/>
      <c r="O75" s="4">
        <f>_xlfn.XLOOKUP(Table10[[#This Row],[Product ]],Table6[Item Name],Table6[Qty],"Check QTY")</f>
        <v>566000</v>
      </c>
      <c r="P75" s="44"/>
      <c r="Q75" s="94" t="str">
        <f>IFERROR(Table10[[#This Row],[Cups Regrind]]/(Table10[[#This Row],[ Current production ]]+Table10[[#This Row],[Cups Regrind]]),"No Data Entry")</f>
        <v>No Data Entry</v>
      </c>
      <c r="R75" s="88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16.149999999999999" customHeight="1" thickBot="1" x14ac:dyDescent="0.3">
      <c r="A76" s="46">
        <v>5</v>
      </c>
      <c r="B76" s="17" t="s">
        <v>93</v>
      </c>
      <c r="C76" s="30"/>
      <c r="D76" s="30"/>
      <c r="E76" s="30"/>
      <c r="F76" s="6">
        <f>Table10[[#This Row],[Order]]</f>
        <v>505000</v>
      </c>
      <c r="G76" s="108"/>
      <c r="H76" s="58">
        <v>2650</v>
      </c>
      <c r="I76" s="58">
        <v>8</v>
      </c>
      <c r="J76" s="49">
        <f>(Table10[[#This Row],[Production Order]]/Table10[[#This Row],[Speed]])/Table10[[#This Row],[Working Hours]]</f>
        <v>23.820754716981131</v>
      </c>
      <c r="K76" s="111"/>
      <c r="L76" s="30"/>
      <c r="M76" s="6">
        <f t="shared" si="1"/>
        <v>505000</v>
      </c>
      <c r="N76" s="30"/>
      <c r="O76" s="6">
        <f>_xlfn.XLOOKUP(Table10[[#This Row],[Product ]],Table6[Item Name],Table6[Qty],"Check QTY")</f>
        <v>505000</v>
      </c>
      <c r="P76" s="47"/>
      <c r="Q76" s="91" t="str">
        <f>IFERROR(Table10[[#This Row],[Cups Regrind]]/(Table10[[#This Row],[ Current production ]]+Table10[[#This Row],[Cups Regrind]]),"No Data Entry")</f>
        <v>No Data Entry</v>
      </c>
      <c r="R76" s="87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15.6" customHeight="1" x14ac:dyDescent="0.25"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15.6" customHeight="1" x14ac:dyDescent="0.25"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15.6" customHeight="1" x14ac:dyDescent="0.25"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15.6" customHeight="1" x14ac:dyDescent="0.25"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9:28" ht="15.6" customHeight="1" x14ac:dyDescent="0.25"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9:28" ht="15.6" customHeight="1" x14ac:dyDescent="0.25"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9:28" ht="15.6" customHeight="1" x14ac:dyDescent="0.25"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9:28" ht="15.6" customHeight="1" x14ac:dyDescent="0.25"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9:28" ht="15.6" customHeight="1" x14ac:dyDescent="0.25"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9:28" ht="15.6" customHeight="1" x14ac:dyDescent="0.25"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9:28" ht="15.6" customHeight="1" x14ac:dyDescent="0.25"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9:28" ht="15.6" customHeight="1" x14ac:dyDescent="0.25"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9:28" ht="15.6" customHeight="1" x14ac:dyDescent="0.25"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9:28" ht="15.6" customHeight="1" x14ac:dyDescent="0.25"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9:28" ht="15.6" customHeight="1" x14ac:dyDescent="0.25"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9:28" ht="15.6" customHeight="1" x14ac:dyDescent="0.25"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9:28" ht="15.6" customHeight="1" x14ac:dyDescent="0.25"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9:28" ht="15.6" customHeight="1" x14ac:dyDescent="0.25"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9:28" ht="15.6" customHeight="1" x14ac:dyDescent="0.25"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9:28" ht="15.6" customHeight="1" x14ac:dyDescent="0.25"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9:28" ht="15.6" customHeight="1" x14ac:dyDescent="0.25"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9:28" ht="15.6" customHeight="1" x14ac:dyDescent="0.25"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9:28" ht="15.6" customHeight="1" x14ac:dyDescent="0.25"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9:28" ht="15.6" customHeight="1" x14ac:dyDescent="0.25"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9:28" ht="15.6" customHeight="1" x14ac:dyDescent="0.25"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9:28" ht="15.6" customHeight="1" x14ac:dyDescent="0.25"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9:28" ht="15.6" customHeight="1" x14ac:dyDescent="0.25"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9:28" ht="15.6" customHeight="1" x14ac:dyDescent="0.25"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9:28" ht="15.6" customHeight="1" x14ac:dyDescent="0.25"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9:28" ht="15.6" customHeight="1" x14ac:dyDescent="0.25"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9:28" ht="15.6" customHeight="1" x14ac:dyDescent="0.25"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9:28" ht="15.6" customHeight="1" x14ac:dyDescent="0.25"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9:28" ht="15.6" customHeight="1" x14ac:dyDescent="0.25"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9:28" ht="15.6" customHeight="1" x14ac:dyDescent="0.25"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9:28" ht="15.6" customHeight="1" x14ac:dyDescent="0.25"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9:28" ht="15.6" customHeight="1" x14ac:dyDescent="0.25"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9:28" ht="15.6" customHeight="1" x14ac:dyDescent="0.25"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9:28" ht="15.6" customHeight="1" x14ac:dyDescent="0.25"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9:28" ht="15.6" customHeight="1" x14ac:dyDescent="0.25"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9:28" ht="15.6" customHeight="1" x14ac:dyDescent="0.25"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9:28" ht="15.6" customHeight="1" x14ac:dyDescent="0.25"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9:28" ht="15.6" customHeight="1" x14ac:dyDescent="0.25"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9:28" ht="15.6" customHeight="1" x14ac:dyDescent="0.25"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9:28" ht="15.6" customHeight="1" x14ac:dyDescent="0.25"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9:28" ht="15.6" customHeight="1" x14ac:dyDescent="0.25"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9:28" ht="15.6" customHeight="1" x14ac:dyDescent="0.25"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9:28" ht="15.6" customHeight="1" x14ac:dyDescent="0.25"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9:28" ht="15.6" customHeight="1" x14ac:dyDescent="0.25"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9:28" ht="15.6" customHeight="1" x14ac:dyDescent="0.25"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9:28" ht="15.6" customHeight="1" x14ac:dyDescent="0.25"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9:28" ht="15.6" customHeight="1" x14ac:dyDescent="0.25"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9:28" ht="15.6" customHeight="1" x14ac:dyDescent="0.25"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9:28" ht="15.6" customHeight="1" x14ac:dyDescent="0.25"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9:28" ht="15.6" customHeight="1" x14ac:dyDescent="0.25"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9:28" ht="15.6" customHeight="1" x14ac:dyDescent="0.25"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9:28" ht="15.6" customHeight="1" x14ac:dyDescent="0.25"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9:28" ht="15.6" customHeight="1" x14ac:dyDescent="0.25"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9:28" ht="15.6" customHeight="1" x14ac:dyDescent="0.25"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9:28" ht="15.6" customHeight="1" x14ac:dyDescent="0.25"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9:28" ht="15.6" customHeight="1" x14ac:dyDescent="0.25"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9:28" ht="15.6" customHeight="1" x14ac:dyDescent="0.25"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9:28" ht="15.6" customHeight="1" x14ac:dyDescent="0.25"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9:28" ht="15.6" customHeight="1" x14ac:dyDescent="0.25"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9:28" ht="15.6" customHeight="1" x14ac:dyDescent="0.25"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9:28" ht="15.6" customHeight="1" x14ac:dyDescent="0.25"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9:28" ht="15.6" customHeight="1" x14ac:dyDescent="0.25"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9:28" ht="15.6" customHeight="1" x14ac:dyDescent="0.25"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9:28" ht="15.6" customHeight="1" x14ac:dyDescent="0.25"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9:28" ht="15.6" customHeight="1" x14ac:dyDescent="0.25"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9:28" ht="15.6" customHeight="1" x14ac:dyDescent="0.25"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9:28" ht="15.6" customHeight="1" x14ac:dyDescent="0.25"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9:28" ht="15.6" customHeight="1" x14ac:dyDescent="0.25"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9:28" ht="15.6" customHeight="1" x14ac:dyDescent="0.25"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9:28" ht="15.6" customHeight="1" x14ac:dyDescent="0.25"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9:28" ht="15.6" customHeight="1" x14ac:dyDescent="0.25"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9:28" ht="15.6" customHeight="1" x14ac:dyDescent="0.25"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9:28" ht="15.6" customHeight="1" x14ac:dyDescent="0.25"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9:28" ht="15.6" customHeight="1" x14ac:dyDescent="0.25"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9:28" ht="15.6" customHeight="1" x14ac:dyDescent="0.25"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9:28" ht="15.6" customHeight="1" x14ac:dyDescent="0.25"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9:28" ht="15.6" customHeight="1" x14ac:dyDescent="0.25"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9:28" ht="15.6" customHeight="1" x14ac:dyDescent="0.25"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9:28" ht="15.6" customHeight="1" x14ac:dyDescent="0.25"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9:28" ht="15.6" customHeight="1" x14ac:dyDescent="0.25"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9:28" ht="15.6" customHeight="1" x14ac:dyDescent="0.25"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9:28" ht="15.6" customHeight="1" x14ac:dyDescent="0.25"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9:28" ht="15.6" customHeight="1" x14ac:dyDescent="0.25"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9:28" ht="15.6" customHeight="1" x14ac:dyDescent="0.25"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9:28" ht="15.6" customHeight="1" x14ac:dyDescent="0.25"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9:28" ht="15.6" customHeight="1" x14ac:dyDescent="0.25"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9:28" ht="15.6" customHeight="1" x14ac:dyDescent="0.25"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9:28" ht="15.6" customHeight="1" x14ac:dyDescent="0.25"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9:28" ht="15.6" customHeight="1" x14ac:dyDescent="0.25"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9:28" ht="15.6" customHeight="1" x14ac:dyDescent="0.25"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9:28" ht="15.6" customHeight="1" x14ac:dyDescent="0.25"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9:28" ht="15.6" customHeight="1" x14ac:dyDescent="0.25"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9:28" ht="15.6" customHeight="1" x14ac:dyDescent="0.25"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9:28" ht="15.6" customHeight="1" x14ac:dyDescent="0.25"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9:28" ht="15.6" customHeight="1" x14ac:dyDescent="0.25"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9:28" ht="15.6" customHeight="1" x14ac:dyDescent="0.25"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9:28" ht="15.6" customHeight="1" x14ac:dyDescent="0.25"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9:28" ht="15.6" customHeight="1" x14ac:dyDescent="0.25"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9:28" ht="15.6" customHeight="1" x14ac:dyDescent="0.25"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9:28" ht="15.6" customHeight="1" x14ac:dyDescent="0.25"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9:28" ht="15.6" customHeight="1" x14ac:dyDescent="0.25"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9:28" ht="15.6" customHeight="1" x14ac:dyDescent="0.25"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9:28" ht="15.6" customHeight="1" x14ac:dyDescent="0.25"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9:28" ht="15.6" customHeight="1" x14ac:dyDescent="0.25"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9:28" ht="15.6" customHeight="1" x14ac:dyDescent="0.25"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9:28" ht="15.6" customHeight="1" x14ac:dyDescent="0.25"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9:28" ht="15.6" customHeight="1" x14ac:dyDescent="0.25"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9:28" ht="15.6" customHeight="1" x14ac:dyDescent="0.25"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9:28" ht="15.6" customHeight="1" x14ac:dyDescent="0.25"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9:28" ht="15.6" customHeight="1" x14ac:dyDescent="0.25"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9:28" ht="15.6" customHeight="1" x14ac:dyDescent="0.25"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9:28" ht="15.6" customHeight="1" x14ac:dyDescent="0.25"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9:28" ht="15.6" customHeight="1" x14ac:dyDescent="0.25"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9:28" ht="15.6" customHeight="1" x14ac:dyDescent="0.25"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9:28" ht="15.6" customHeight="1" x14ac:dyDescent="0.25"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9:28" ht="15.6" customHeight="1" x14ac:dyDescent="0.25"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9:28" ht="15.6" customHeight="1" x14ac:dyDescent="0.25"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9:28" ht="15.6" customHeight="1" x14ac:dyDescent="0.25"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9:28" ht="15.6" customHeight="1" x14ac:dyDescent="0.25"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9:28" ht="15.6" customHeight="1" x14ac:dyDescent="0.25"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9:28" ht="15.6" customHeight="1" x14ac:dyDescent="0.25"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9:28" ht="15.6" customHeight="1" x14ac:dyDescent="0.25"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9:28" ht="15.6" customHeight="1" x14ac:dyDescent="0.25"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9:28" ht="15.6" customHeight="1" x14ac:dyDescent="0.25"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9:28" ht="15.6" customHeight="1" x14ac:dyDescent="0.25"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9:28" ht="15.6" customHeight="1" x14ac:dyDescent="0.25"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9:28" ht="15.6" customHeight="1" x14ac:dyDescent="0.25"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9:28" ht="15.6" customHeight="1" x14ac:dyDescent="0.25"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9:28" ht="15.6" customHeight="1" x14ac:dyDescent="0.25"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9:28" ht="15.6" customHeight="1" x14ac:dyDescent="0.25"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9:28" ht="15.6" customHeight="1" x14ac:dyDescent="0.25"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9:28" ht="15.6" customHeight="1" x14ac:dyDescent="0.25"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9:28" ht="15.6" customHeight="1" x14ac:dyDescent="0.25"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9:28" ht="15.6" customHeight="1" x14ac:dyDescent="0.25"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9:28" ht="15.6" customHeight="1" x14ac:dyDescent="0.25"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9:28" ht="15.6" customHeight="1" x14ac:dyDescent="0.25"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9:28" ht="15.6" customHeight="1" x14ac:dyDescent="0.25"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9:28" ht="15.6" customHeight="1" x14ac:dyDescent="0.25"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9:28" ht="15.6" customHeight="1" x14ac:dyDescent="0.25"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9:28" ht="15.6" customHeight="1" x14ac:dyDescent="0.25"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9:28" ht="15.6" customHeight="1" x14ac:dyDescent="0.25"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9:28" ht="15.6" customHeight="1" x14ac:dyDescent="0.25"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9:28" ht="15.6" customHeight="1" x14ac:dyDescent="0.25"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9:28" ht="15.6" customHeight="1" x14ac:dyDescent="0.25"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9:28" ht="15.6" customHeight="1" x14ac:dyDescent="0.25"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9:28" ht="15.6" customHeight="1" x14ac:dyDescent="0.25"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9:28" ht="15.6" customHeight="1" x14ac:dyDescent="0.25"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9:28" ht="15.6" customHeight="1" x14ac:dyDescent="0.25"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9:28" ht="15.6" customHeight="1" x14ac:dyDescent="0.25"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9:28" ht="15.6" customHeight="1" x14ac:dyDescent="0.25"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9:28" ht="15.6" customHeight="1" x14ac:dyDescent="0.25"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9:28" ht="15.6" customHeight="1" x14ac:dyDescent="0.25"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9:28" ht="15.6" customHeight="1" x14ac:dyDescent="0.25"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9:28" ht="15.6" customHeight="1" x14ac:dyDescent="0.25"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9:28" ht="15.6" customHeight="1" x14ac:dyDescent="0.25"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9:28" ht="15.6" customHeight="1" x14ac:dyDescent="0.25"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9:28" ht="15.6" customHeight="1" x14ac:dyDescent="0.25"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9:28" ht="15.6" customHeight="1" x14ac:dyDescent="0.25"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9:28" ht="15.6" customHeight="1" x14ac:dyDescent="0.25"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9:28" ht="15.6" customHeight="1" x14ac:dyDescent="0.25"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9:28" ht="15.6" customHeight="1" x14ac:dyDescent="0.25"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9:28" ht="15.6" customHeight="1" x14ac:dyDescent="0.25"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9:28" ht="15.6" customHeight="1" x14ac:dyDescent="0.25"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9:28" ht="15.6" customHeight="1" x14ac:dyDescent="0.25"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9:28" ht="15.6" customHeight="1" x14ac:dyDescent="0.25"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9:28" ht="15.6" customHeight="1" x14ac:dyDescent="0.25"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9:28" ht="15.6" customHeight="1" x14ac:dyDescent="0.25"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9:28" ht="15.6" customHeight="1" x14ac:dyDescent="0.25"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9:28" ht="15.6" customHeight="1" x14ac:dyDescent="0.25"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9:28" ht="15.6" customHeight="1" x14ac:dyDescent="0.25"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9:28" ht="15.6" customHeight="1" x14ac:dyDescent="0.25"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9:28" ht="15.6" customHeight="1" x14ac:dyDescent="0.25"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9:28" ht="15.6" customHeight="1" x14ac:dyDescent="0.25"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9:28" ht="15.6" customHeight="1" x14ac:dyDescent="0.25"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9:28" ht="15.6" customHeight="1" x14ac:dyDescent="0.25"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9:28" ht="15.6" customHeight="1" x14ac:dyDescent="0.25"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9:28" ht="15.6" customHeight="1" x14ac:dyDescent="0.25"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9:28" ht="15.6" customHeight="1" x14ac:dyDescent="0.25"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9:28" ht="15.6" customHeight="1" x14ac:dyDescent="0.25"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9:28" ht="15.6" customHeight="1" x14ac:dyDescent="0.25"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9:28" ht="15.6" customHeight="1" x14ac:dyDescent="0.25"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9:28" ht="15.6" customHeight="1" x14ac:dyDescent="0.25"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9:28" ht="15.6" customHeight="1" x14ac:dyDescent="0.25"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9:28" ht="15.6" customHeight="1" x14ac:dyDescent="0.25"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9:28" ht="15.6" customHeight="1" x14ac:dyDescent="0.25"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9:28" ht="15.6" customHeight="1" x14ac:dyDescent="0.25"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9:28" ht="15.6" customHeight="1" x14ac:dyDescent="0.25"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9:28" ht="15.6" customHeight="1" x14ac:dyDescent="0.25"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9:28" ht="15.6" customHeight="1" x14ac:dyDescent="0.25"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9:28" ht="15.6" customHeight="1" x14ac:dyDescent="0.25"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9:28" ht="15.6" customHeight="1" x14ac:dyDescent="0.25"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9:28" ht="15.6" customHeight="1" x14ac:dyDescent="0.25"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9:28" ht="15.6" customHeight="1" x14ac:dyDescent="0.25"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9:28" ht="15.6" customHeight="1" x14ac:dyDescent="0.25"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9:28" ht="15.6" customHeight="1" x14ac:dyDescent="0.25"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9:28" ht="15.6" customHeight="1" x14ac:dyDescent="0.25"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9:28" ht="15.6" customHeight="1" x14ac:dyDescent="0.25"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9:28" ht="15.6" customHeight="1" x14ac:dyDescent="0.25"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9:28" ht="15.6" customHeight="1" x14ac:dyDescent="0.25"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9:28" ht="15.6" customHeight="1" x14ac:dyDescent="0.25"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9:28" ht="15.6" customHeight="1" x14ac:dyDescent="0.25"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9:28" ht="15.6" customHeight="1" x14ac:dyDescent="0.25"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9:28" ht="15.6" customHeight="1" x14ac:dyDescent="0.25"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9:28" ht="15.6" customHeight="1" x14ac:dyDescent="0.25"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9:28" ht="15.6" customHeight="1" x14ac:dyDescent="0.25"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9:28" ht="15.6" customHeight="1" x14ac:dyDescent="0.25"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9:28" ht="15.6" customHeight="1" x14ac:dyDescent="0.25"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19:28" ht="15.6" customHeight="1" x14ac:dyDescent="0.25"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19:28" ht="15.6" customHeight="1" x14ac:dyDescent="0.25"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19:28" ht="15.6" customHeight="1" x14ac:dyDescent="0.25"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19:28" ht="15.6" customHeight="1" x14ac:dyDescent="0.25"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19:28" ht="15.6" customHeight="1" x14ac:dyDescent="0.25"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19:28" ht="15.6" customHeight="1" x14ac:dyDescent="0.25"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19:28" ht="15.6" customHeight="1" x14ac:dyDescent="0.25"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19:28" ht="15.6" customHeight="1" x14ac:dyDescent="0.25"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19:28" ht="15.6" customHeight="1" x14ac:dyDescent="0.25"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</sheetData>
  <mergeCells count="5">
    <mergeCell ref="A44:Q44"/>
    <mergeCell ref="A50:Q50"/>
    <mergeCell ref="A1:R1"/>
    <mergeCell ref="A68:Q68"/>
    <mergeCell ref="A12:R12"/>
  </mergeCells>
  <conditionalFormatting sqref="M46">
    <cfRule type="expression" dxfId="36" priority="2">
      <formula>$O46="On KTR4-2"</formula>
    </cfRule>
  </conditionalFormatting>
  <conditionalFormatting sqref="M52:N52">
    <cfRule type="expression" dxfId="35" priority="1">
      <formula>$P52="On KTR4-2"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Clinet Orders</vt:lpstr>
      <vt:lpstr>EXT &amp; KTR4 &amp; Omso</vt:lpstr>
      <vt:lpstr>Others 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</dc:creator>
  <cp:lastModifiedBy>Production</cp:lastModifiedBy>
  <cp:lastPrinted>2026-02-01T08:13:18Z</cp:lastPrinted>
  <dcterms:created xsi:type="dcterms:W3CDTF">2015-06-05T18:17:20Z</dcterms:created>
  <dcterms:modified xsi:type="dcterms:W3CDTF">2026-02-01T09:04:25Z</dcterms:modified>
</cp:coreProperties>
</file>